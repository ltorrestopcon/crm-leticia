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refas" sheetId="2" state="visible" r:id="rId4"/>
    <sheet name="Clientes" sheetId="3" state="visible" r:id="rId5"/>
    <sheet name="Histórico" sheetId="4" state="visible" r:id="rId6"/>
    <sheet name="Configurações" sheetId="5" state="visible" r:id="rId7"/>
  </sheets>
  <definedNames>
    <definedName function="false" hidden="true" localSheetId="2" name="_xlnm._FilterDatabase" vbProcedure="false">Clientes!$A$4:$G$104</definedName>
    <definedName function="false" hidden="true" localSheetId="3" name="_xlnm._FilterDatabase" vbProcedure="false">Histórico!$A$4:$K$204</definedName>
    <definedName function="false" hidden="true" localSheetId="1" name="_xlnm._FilterDatabase" vbProcedure="false">Tarefas!$A$4:$K$204</definedName>
    <definedName function="false" hidden="false" name="lst_Categorias" vbProcedure="false">Configurações!$A$2:$A$8</definedName>
    <definedName function="false" hidden="false" name="lst_Prioridades" vbProcedure="false">Configurações!$C$2:$C$4</definedName>
    <definedName function="false" hidden="false" name="lst_Responsaveis" vbProcedure="false">Configurações!$D$2:$D$6</definedName>
    <definedName function="false" hidden="false" name="lst_Status" vbProcedure="false">Configurações!$B$2:$B$6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<sst xmlns="http://schemas.openxmlformats.org/spreadsheetml/2006/main" count="181" uniqueCount="98">
  <si>
    <t xml:space="preserve">Painel de Tarefas — CRM Letícia</t>
  </si>
  <si>
    <t xml:space="preserve">Visão consolidada por módulo, status e prioridade.</t>
  </si>
  <si>
    <t xml:space="preserve">Indicadores principais</t>
  </si>
  <si>
    <t xml:space="preserve">Total de Tarefas</t>
  </si>
  <si>
    <t xml:space="preserve">Abertas</t>
  </si>
  <si>
    <t xml:space="preserve">Em Andamento</t>
  </si>
  <si>
    <t xml:space="preserve">Concluídas</t>
  </si>
  <si>
    <t xml:space="preserve">Atrasadas</t>
  </si>
  <si>
    <t xml:space="preserve">Tarefas por Módulo</t>
  </si>
  <si>
    <t xml:space="preserve">Por Status</t>
  </si>
  <si>
    <t xml:space="preserve">Por Prioridade</t>
  </si>
  <si>
    <t xml:space="preserve">Módulo</t>
  </si>
  <si>
    <t xml:space="preserve">Total</t>
  </si>
  <si>
    <t xml:space="preserve">Abertas/Andamento</t>
  </si>
  <si>
    <t xml:space="preserve">Status</t>
  </si>
  <si>
    <t xml:space="preserve">Prioridade</t>
  </si>
  <si>
    <t xml:space="preserve">TopconFleet</t>
  </si>
  <si>
    <t xml:space="preserve">Aberto</t>
  </si>
  <si>
    <t xml:space="preserve">Alta</t>
  </si>
  <si>
    <t xml:space="preserve">TopconBatch</t>
  </si>
  <si>
    <t xml:space="preserve">Média</t>
  </si>
  <si>
    <t xml:space="preserve">Topcon</t>
  </si>
  <si>
    <t xml:space="preserve">Aguardando</t>
  </si>
  <si>
    <t xml:space="preserve">Baixa</t>
  </si>
  <si>
    <t xml:space="preserve">Zendesk</t>
  </si>
  <si>
    <t xml:space="preserve">Concluído</t>
  </si>
  <si>
    <t xml:space="preserve">Administrativo</t>
  </si>
  <si>
    <t xml:space="preserve">Cancelado</t>
  </si>
  <si>
    <t xml:space="preserve">Assistente Comercial</t>
  </si>
  <si>
    <t xml:space="preserve">Vendas</t>
  </si>
  <si>
    <t xml:space="preserve">CRM Letícia — Controle de Tarefas</t>
  </si>
  <si>
    <t xml:space="preserve">TopconFleet · TopconBatch · Topcon · Zendesk · Administrativo · Assistente Comercial · Vendas</t>
  </si>
  <si>
    <t xml:space="preserve">ID</t>
  </si>
  <si>
    <t xml:space="preserve">Tarefa</t>
  </si>
  <si>
    <t xml:space="preserve">Cliente/Contato</t>
  </si>
  <si>
    <t xml:space="preserve">Responsável</t>
  </si>
  <si>
    <t xml:space="preserve">Data de Criação</t>
  </si>
  <si>
    <t xml:space="preserve">Prazo</t>
  </si>
  <si>
    <t xml:space="preserve">Dias p/ Prazo</t>
  </si>
  <si>
    <t xml:space="preserve">Observações / Próximos Passos</t>
  </si>
  <si>
    <t xml:space="preserve">Configurar telemetria nova frota - Cliente ABC</t>
  </si>
  <si>
    <t xml:space="preserve">João Almeida — Construtora ABC</t>
  </si>
  <si>
    <t xml:space="preserve">Equipe Suporte</t>
  </si>
  <si>
    <t xml:space="preserve">Implantação módulo de batelada - Cliente XPTO</t>
  </si>
  <si>
    <t xml:space="preserve">Maria Souza — Empresa XPTO</t>
  </si>
  <si>
    <t xml:space="preserve">Letícia</t>
  </si>
  <si>
    <t xml:space="preserve">Atualização licença software MAGNET</t>
  </si>
  <si>
    <t xml:space="preserve">Carla Mendes — Construtora MN</t>
  </si>
  <si>
    <t xml:space="preserve">Responder ticket #4521 - integração API</t>
  </si>
  <si>
    <t xml:space="preserve">Enviar nota fiscal mês 05/2026</t>
  </si>
  <si>
    <t xml:space="preserve">Cliente interno</t>
  </si>
  <si>
    <t xml:space="preserve">Equipe Admin</t>
  </si>
  <si>
    <t xml:space="preserve">Análise pedido de cancelamento contrato #889</t>
  </si>
  <si>
    <t xml:space="preserve">Pedro Lima — Construtora YZ</t>
  </si>
  <si>
    <t xml:space="preserve">Follow-up proposta comercial Topcon Suite</t>
  </si>
  <si>
    <t xml:space="preserve">Demonstração software MAGNET Field</t>
  </si>
  <si>
    <t xml:space="preserve">Renovação contrato anual rastreamento</t>
  </si>
  <si>
    <t xml:space="preserve">Atualizar artigo da base de conhecimento</t>
  </si>
  <si>
    <t xml:space="preserve">—</t>
  </si>
  <si>
    <t xml:space="preserve">Cadastro de Clientes / Contatos</t>
  </si>
  <si>
    <t xml:space="preserve">Lista de referência rápida — use ao registrar tarefas na aba 'Tarefas'.</t>
  </si>
  <si>
    <t xml:space="preserve">Nome / Empresa</t>
  </si>
  <si>
    <t xml:space="preserve">Contato Principal</t>
  </si>
  <si>
    <t xml:space="preserve">E-mail</t>
  </si>
  <si>
    <t xml:space="preserve">Telefone</t>
  </si>
  <si>
    <t xml:space="preserve">Módulo Principal</t>
  </si>
  <si>
    <t xml:space="preserve">Observações</t>
  </si>
  <si>
    <t xml:space="preserve">Construtora ABC</t>
  </si>
  <si>
    <t xml:space="preserve">João Almeida</t>
  </si>
  <si>
    <t xml:space="preserve">joao@construtoraabc.com.br</t>
  </si>
  <si>
    <t xml:space="preserve">(11) 99988-7766</t>
  </si>
  <si>
    <t xml:space="preserve">Cliente em prospecção — interesse em Topcon Suite + TopconFleet.</t>
  </si>
  <si>
    <t xml:space="preserve">Empresa XPTO</t>
  </si>
  <si>
    <t xml:space="preserve">Maria Souza</t>
  </si>
  <si>
    <t xml:space="preserve">maria.souza@xpto.com</t>
  </si>
  <si>
    <t xml:space="preserve">(21) 98877-1122</t>
  </si>
  <si>
    <t xml:space="preserve">Suporte recorrente + implantação TopconBatch.</t>
  </si>
  <si>
    <t xml:space="preserve">Construtora YZ</t>
  </si>
  <si>
    <t xml:space="preserve">Pedro Lima</t>
  </si>
  <si>
    <t xml:space="preserve">pedro@construtorayz.com.br</t>
  </si>
  <si>
    <t xml:space="preserve">(31) 97766-2233</t>
  </si>
  <si>
    <t xml:space="preserve">Solicitou análise de cancelamento.</t>
  </si>
  <si>
    <t xml:space="preserve">Construtora MN</t>
  </si>
  <si>
    <t xml:space="preserve">Carla Mendes</t>
  </si>
  <si>
    <t xml:space="preserve">carla.mendes@cmn.com.br</t>
  </si>
  <si>
    <t xml:space="preserve">(41) 96655-3344</t>
  </si>
  <si>
    <t xml:space="preserve">Demo MAGNET agendada.</t>
  </si>
  <si>
    <t xml:space="preserve">Histórico de Tarefas Concluídas</t>
  </si>
  <si>
    <t xml:space="preserve">Quando uma tarefa for concluída, mova/cole aqui para manter a aba 'Tarefas' limpa.</t>
  </si>
  <si>
    <t xml:space="preserve">Data Criação</t>
  </si>
  <si>
    <t xml:space="preserve">Data Conclusão</t>
  </si>
  <si>
    <t xml:space="preserve">Resultado</t>
  </si>
  <si>
    <t xml:space="preserve">Módulos</t>
  </si>
  <si>
    <t xml:space="preserve">Responsáveis</t>
  </si>
  <si>
    <t xml:space="preserve">Dica:</t>
  </si>
  <si>
    <t xml:space="preserve">Adicione ou remova itens nas colunas acima para personalizar</t>
  </si>
  <si>
    <t xml:space="preserve">Equipe Vendas</t>
  </si>
  <si>
    <t xml:space="preserve">as listas suspensas das abas Tarefas, Clientes e Histórico.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</si>
</sst>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68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3A68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9C5700"/>
      <name val="Arial"/>
      <family val="0"/>
      <charset val="1"/>
    </font>
    <font>
      <b val="true"/>
      <sz val="22"/>
      <color rgb="FF006100"/>
      <name val="Arial"/>
      <family val="0"/>
      <charset val="1"/>
    </font>
    <font>
      <b val="true"/>
      <sz val="22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A68"/>
      <name val="Arial"/>
      <family val="0"/>
      <charset val="1"/>
    </font>
    <font>
      <sz val="10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416A9C"/>
      </patternFill>
    </fill>
    <fill>
      <patternFill patternType="solid">
        <fgColor rgb="FFF2F2F2"/>
        <bgColor rgb="FFF9F9F9"/>
      </patternFill>
    </fill>
    <fill>
      <patternFill patternType="solid">
        <fgColor rgb="FFDEEBF7"/>
        <bgColor rgb="FFEAEAEA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EAEAEA"/>
      </patternFill>
    </fill>
    <fill>
      <patternFill patternType="solid">
        <fgColor rgb="FFC6EFCE"/>
        <bgColor rgb="FFDEEBF7"/>
      </patternFill>
    </fill>
    <fill>
      <patternFill patternType="solid">
        <fgColor rgb="FFFFC7CE"/>
        <bgColor rgb="FFD9D9D9"/>
      </patternFill>
    </fill>
    <fill>
      <patternFill patternType="solid">
        <fgColor rgb="FF1F3A68"/>
        <bgColor rgb="FF1F3864"/>
      </patternFill>
    </fill>
    <fill>
      <patternFill patternType="solid">
        <fgColor rgb="FFF7FAF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A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5F3E84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1F3864"/>
        <sz val="10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F3E84"/>
        <sz val="10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i val="1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i val="1"/>
        <color rgb="FF7F7F7F"/>
        <sz val="10"/>
      </font>
      <fill>
        <patternFill>
          <bgColor rgb="FFEAEAEA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>
          <bgColor rgb="FFF7FA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EAEA"/>
      <rgbColor rgb="FFFF00FF"/>
      <rgbColor rgb="FF00FFFF"/>
      <rgbColor rgb="FF9C0006"/>
      <rgbColor rgb="FF006100"/>
      <rgbColor rgb="FF000080"/>
      <rgbColor rgb="FF7F7F7F"/>
      <rgbColor rgb="FF800080"/>
      <rgbColor rgb="FF008080"/>
      <rgbColor rgb="FFBFBFBF"/>
      <rgbColor rgb="FF808080"/>
      <rgbColor rgb="FF70AD47"/>
      <rgbColor rgb="FFC0504D"/>
      <rgbColor rgb="FFF9F9F9"/>
      <rgbColor rgb="FFDEEBF7"/>
      <rgbColor rgb="FF660066"/>
      <rgbColor rgb="FFFF8080"/>
      <rgbColor rgb="FF416A9C"/>
      <rgbColor rgb="FFBDD7EE"/>
      <rgbColor rgb="FF000080"/>
      <rgbColor rgb="FFFF00FF"/>
      <rgbColor rgb="FFF7FAF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AABAD7"/>
      <rgbColor rgb="FFE4DFEC"/>
      <rgbColor rgb="FFD9D9D9"/>
      <rgbColor rgb="FFFFC7CE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C5700"/>
      <rgbColor rgb="FF5F3E84"/>
      <rgbColor rgb="FF1F3A6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Tarefas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6A9C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Dashboard!$B$11:$B$17</c:f>
              <c:strCache>
                <c:ptCount val="7"/>
                <c:pt idx="0">
                  <c:v>TopconFleet</c:v>
                </c:pt>
                <c:pt idx="1">
                  <c:v>TopconBatch</c:v>
                </c:pt>
                <c:pt idx="2">
                  <c:v>Topcon</c:v>
                </c:pt>
                <c:pt idx="3">
                  <c:v>Zendesk</c:v>
                </c:pt>
                <c:pt idx="4">
                  <c:v>Administrativo</c:v>
                </c:pt>
                <c:pt idx="5">
                  <c:v>Assistente Comercial</c:v>
                </c:pt>
                <c:pt idx="6">
                  <c:v>Vendas</c:v>
                </c:pt>
              </c:strCache>
            </c:strRef>
          </c:cat>
          <c:val>
            <c:numRef>
              <c:f>Dashboard!$C$11:$C$17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Dashboard!D10</c:f>
              <c:strCache>
                <c:ptCount val="1"/>
                <c:pt idx="0">
                  <c:v>Abertas/Andamento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Dashboard!$B$11:$B$17</c:f>
              <c:strCache>
                <c:ptCount val="7"/>
                <c:pt idx="0">
                  <c:v>TopconFleet</c:v>
                </c:pt>
                <c:pt idx="1">
                  <c:v>TopconBatch</c:v>
                </c:pt>
                <c:pt idx="2">
                  <c:v>Topcon</c:v>
                </c:pt>
                <c:pt idx="3">
                  <c:v>Zendesk</c:v>
                </c:pt>
                <c:pt idx="4">
                  <c:v>Administrativo</c:v>
                </c:pt>
                <c:pt idx="5">
                  <c:v>Assistente Comercial</c:v>
                </c:pt>
                <c:pt idx="6">
                  <c:v>Vendas</c:v>
                </c:pt>
              </c:strCache>
            </c:strRef>
          </c:cat>
          <c:val>
            <c:numRef>
              <c:f>Dashboard!$D$11:$D$17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ser>
          <c:idx val="2"/>
          <c:order val="2"/>
          <c:tx>
            <c:strRef>
              <c:f>Dashboard!E10</c:f>
              <c:strCache>
                <c:ptCount val="1"/>
                <c:pt idx="0">
                  <c:v>Concluídas</c:v>
                </c:pt>
              </c:strCache>
            </c:strRef>
          </c:tx>
          <c:spPr>
            <a:solidFill>
              <a:srgbClr val="AABAD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Dashboard!$B$11:$B$17</c:f>
              <c:strCache>
                <c:ptCount val="7"/>
                <c:pt idx="0">
                  <c:v>TopconFleet</c:v>
                </c:pt>
                <c:pt idx="1">
                  <c:v>TopconBatch</c:v>
                </c:pt>
                <c:pt idx="2">
                  <c:v>Topcon</c:v>
                </c:pt>
                <c:pt idx="3">
                  <c:v>Zendesk</c:v>
                </c:pt>
                <c:pt idx="4">
                  <c:v>Administrativo</c:v>
                </c:pt>
                <c:pt idx="5">
                  <c:v>Assistente Comercial</c:v>
                </c:pt>
                <c:pt idx="6">
                  <c:v>Vendas</c:v>
                </c:pt>
              </c:strCache>
            </c:strRef>
          </c:cat>
          <c:val>
            <c:numRef>
              <c:f>Dashboard!$E$11:$E$17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1250944"/>
        <c:axId val="48584290"/>
      </c:barChart>
      <c:catAx>
        <c:axId val="5125094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84290"/>
        <c:crosses val="autoZero"/>
        <c:auto val="1"/>
        <c:lblAlgn val="ctr"/>
        <c:lblOffset val="100"/>
        <c:noMultiLvlLbl val="0"/>
      </c:catAx>
      <c:valAx>
        <c:axId val="48584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2509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Dashboard!$G$11:$G$15</c:f>
              <c:strCache>
                <c:ptCount val="5"/>
                <c:pt idx="0">
                  <c:v>Aberto</c:v>
                </c:pt>
                <c:pt idx="1">
                  <c:v>Em Andamento</c:v>
                </c:pt>
                <c:pt idx="2">
                  <c:v>Aguardando</c:v>
                </c:pt>
                <c:pt idx="3">
                  <c:v>Concluído</c:v>
                </c:pt>
                <c:pt idx="4">
                  <c:v>Cancelado</c:v>
                </c:pt>
              </c:strCache>
            </c:strRef>
          </c:cat>
          <c:val>
            <c:numRef>
              <c:f>Dashboard!$H$11:$H$15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5</xdr:col>
      <xdr:colOff>840960</xdr:colOff>
      <xdr:row>38</xdr:row>
      <xdr:rowOff>170640</xdr:rowOff>
    </xdr:to>
    <xdr:graphicFrame>
      <xdr:nvGraphicFramePr>
        <xdr:cNvPr id="1" name="Chart 1"/>
        <xdr:cNvGraphicFramePr/>
      </xdr:nvGraphicFramePr>
      <xdr:xfrm>
        <a:off x="141120" y="45986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231480</xdr:colOff>
      <xdr:row>38</xdr:row>
      <xdr:rowOff>170640</xdr:rowOff>
    </xdr:to>
    <xdr:graphicFrame>
      <xdr:nvGraphicFramePr>
        <xdr:cNvPr id="2" name="Chart 2"/>
        <xdr:cNvGraphicFramePr/>
      </xdr:nvGraphicFramePr>
      <xdr:xfrm>
        <a:off x="7048440" y="45986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8" min="4" style="0" width="18"/>
    <col collapsed="false" customWidth="true" hidden="false" outlineLevel="0" max="9" min="9" style="0" width="22"/>
    <col collapsed="false" customWidth="true" hidden="false" outlineLevel="0" max="10" min="10" style="0" width="18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37.5" hidden="false" customHeight="true" outlineLevel="0" collapsed="false">
      <c r="B7" s="5" t="n">
        <f aca="false">COUNTA(Tarefas!$C$5:$C$204)</f>
        <v>10</v>
      </c>
      <c r="C7" s="6" t="n">
        <f aca="false">COUNTIF(Tarefas!$H$5:$H$204,"Aberto")</f>
        <v>6</v>
      </c>
      <c r="D7" s="7" t="n">
        <f aca="false">COUNTIF(Tarefas!$H$5:$H$204,"Em Andamento")</f>
        <v>3</v>
      </c>
      <c r="E7" s="8" t="n">
        <f aca="false">COUNTIF(Tarefas!$H$5:$H$204,"Concluído")</f>
        <v>0</v>
      </c>
      <c r="F7" s="9" t="n">
        <f aca="true">COUNTIFS(Tarefas!$G$5:$G$204,"&lt;"&amp;TODAY(),Tarefas!$H$5:$H$204,"&lt;&gt;Concluído",Tarefas!$H$5:$H$204,"&lt;&gt;Cancelado",Tarefas!$H$5:$H$204,"&lt;&gt;")</f>
        <v>1</v>
      </c>
    </row>
    <row r="9" customFormat="false" ht="15" hidden="false" customHeight="false" outlineLevel="0" collapsed="false">
      <c r="B9" s="3" t="s">
        <v>8</v>
      </c>
      <c r="C9" s="3"/>
      <c r="D9" s="3"/>
      <c r="E9" s="3"/>
      <c r="G9" s="3" t="s">
        <v>9</v>
      </c>
      <c r="H9" s="3"/>
      <c r="I9" s="3" t="s">
        <v>10</v>
      </c>
      <c r="J9" s="3"/>
    </row>
    <row r="10" customFormat="false" ht="26.85" hidden="false" customHeight="false" outlineLevel="0" collapsed="false">
      <c r="B10" s="10" t="s">
        <v>11</v>
      </c>
      <c r="C10" s="10" t="s">
        <v>12</v>
      </c>
      <c r="D10" s="10" t="s">
        <v>13</v>
      </c>
      <c r="E10" s="10" t="s">
        <v>6</v>
      </c>
      <c r="G10" s="10" t="s">
        <v>14</v>
      </c>
      <c r="H10" s="10" t="s">
        <v>12</v>
      </c>
      <c r="I10" s="10" t="s">
        <v>15</v>
      </c>
      <c r="J10" s="10" t="s">
        <v>12</v>
      </c>
    </row>
    <row r="11" customFormat="false" ht="15" hidden="false" customHeight="false" outlineLevel="0" collapsed="false">
      <c r="B11" s="11" t="s">
        <v>16</v>
      </c>
      <c r="C11" s="12" t="n">
        <f aca="false">COUNTIF(Tarefas!$B$5:$B$204,B11)</f>
        <v>2</v>
      </c>
      <c r="D11" s="12" t="n">
        <f aca="false">COUNTIFS(Tarefas!$B$5:$B$204,B11,Tarefas!$H$5:$H$204,"Aberto")+COUNTIFS(Tarefas!$B$5:$B$204,B11,Tarefas!$H$5:$H$204,"Em Andamento")+COUNTIFS(Tarefas!$B$5:$B$204,B11,Tarefas!$H$5:$H$204,"Aguardando")</f>
        <v>2</v>
      </c>
      <c r="E11" s="12" t="n">
        <f aca="false">COUNTIFS(Tarefas!$B$5:$B$204,B11,Tarefas!$H$5:$H$204,"Concluído")</f>
        <v>0</v>
      </c>
      <c r="G11" s="11" t="s">
        <v>17</v>
      </c>
      <c r="H11" s="12" t="n">
        <f aca="false">COUNTIF(Tarefas!$H$5:$H$204,G11)</f>
        <v>6</v>
      </c>
      <c r="I11" s="11" t="s">
        <v>18</v>
      </c>
      <c r="J11" s="12" t="n">
        <f aca="false">COUNTIF(Tarefas!$I$5:$I$204,I11)</f>
        <v>6</v>
      </c>
    </row>
    <row r="12" customFormat="false" ht="15" hidden="false" customHeight="false" outlineLevel="0" collapsed="false">
      <c r="B12" s="13" t="s">
        <v>19</v>
      </c>
      <c r="C12" s="14" t="n">
        <f aca="false">COUNTIF(Tarefas!$B$5:$B$204,B12)</f>
        <v>1</v>
      </c>
      <c r="D12" s="14" t="n">
        <f aca="false">COUNTIFS(Tarefas!$B$5:$B$204,B12,Tarefas!$H$5:$H$204,"Aberto")+COUNTIFS(Tarefas!$B$5:$B$204,B12,Tarefas!$H$5:$H$204,"Em Andamento")+COUNTIFS(Tarefas!$B$5:$B$204,B12,Tarefas!$H$5:$H$204,"Aguardando")</f>
        <v>1</v>
      </c>
      <c r="E12" s="14" t="n">
        <f aca="false">COUNTIFS(Tarefas!$B$5:$B$204,B12,Tarefas!$H$5:$H$204,"Concluído")</f>
        <v>0</v>
      </c>
      <c r="G12" s="13" t="s">
        <v>5</v>
      </c>
      <c r="H12" s="14" t="n">
        <f aca="false">COUNTIF(Tarefas!$H$5:$H$204,G12)</f>
        <v>3</v>
      </c>
      <c r="I12" s="13" t="s">
        <v>20</v>
      </c>
      <c r="J12" s="14" t="n">
        <f aca="false">COUNTIF(Tarefas!$I$5:$I$204,I12)</f>
        <v>3</v>
      </c>
    </row>
    <row r="13" customFormat="false" ht="15" hidden="false" customHeight="false" outlineLevel="0" collapsed="false">
      <c r="B13" s="11" t="s">
        <v>21</v>
      </c>
      <c r="C13" s="12" t="n">
        <f aca="false">COUNTIF(Tarefas!$B$5:$B$204,B13)</f>
        <v>1</v>
      </c>
      <c r="D13" s="12" t="n">
        <f aca="false">COUNTIFS(Tarefas!$B$5:$B$204,B13,Tarefas!$H$5:$H$204,"Aberto")+COUNTIFS(Tarefas!$B$5:$B$204,B13,Tarefas!$H$5:$H$204,"Em Andamento")+COUNTIFS(Tarefas!$B$5:$B$204,B13,Tarefas!$H$5:$H$204,"Aguardando")</f>
        <v>1</v>
      </c>
      <c r="E13" s="12" t="n">
        <f aca="false">COUNTIFS(Tarefas!$B$5:$B$204,B13,Tarefas!$H$5:$H$204,"Concluído")</f>
        <v>0</v>
      </c>
      <c r="G13" s="11" t="s">
        <v>22</v>
      </c>
      <c r="H13" s="12" t="n">
        <f aca="false">COUNTIF(Tarefas!$H$5:$H$204,G13)</f>
        <v>1</v>
      </c>
      <c r="I13" s="11" t="s">
        <v>23</v>
      </c>
      <c r="J13" s="12" t="n">
        <f aca="false">COUNTIF(Tarefas!$I$5:$I$204,I13)</f>
        <v>1</v>
      </c>
    </row>
    <row r="14" customFormat="false" ht="15" hidden="false" customHeight="false" outlineLevel="0" collapsed="false">
      <c r="B14" s="13" t="s">
        <v>24</v>
      </c>
      <c r="C14" s="14" t="n">
        <f aca="false">COUNTIF(Tarefas!$B$5:$B$204,B14)</f>
        <v>2</v>
      </c>
      <c r="D14" s="14" t="n">
        <f aca="false">COUNTIFS(Tarefas!$B$5:$B$204,B14,Tarefas!$H$5:$H$204,"Aberto")+COUNTIFS(Tarefas!$B$5:$B$204,B14,Tarefas!$H$5:$H$204,"Em Andamento")+COUNTIFS(Tarefas!$B$5:$B$204,B14,Tarefas!$H$5:$H$204,"Aguardando")</f>
        <v>2</v>
      </c>
      <c r="E14" s="14" t="n">
        <f aca="false">COUNTIFS(Tarefas!$B$5:$B$204,B14,Tarefas!$H$5:$H$204,"Concluído")</f>
        <v>0</v>
      </c>
      <c r="G14" s="13" t="s">
        <v>25</v>
      </c>
      <c r="H14" s="14" t="n">
        <f aca="false">COUNTIF(Tarefas!$H$5:$H$204,G14)</f>
        <v>0</v>
      </c>
    </row>
    <row r="15" customFormat="false" ht="15" hidden="false" customHeight="false" outlineLevel="0" collapsed="false">
      <c r="B15" s="11" t="s">
        <v>26</v>
      </c>
      <c r="C15" s="12" t="n">
        <f aca="false">COUNTIF(Tarefas!$B$5:$B$204,B15)</f>
        <v>1</v>
      </c>
      <c r="D15" s="12" t="n">
        <f aca="false">COUNTIFS(Tarefas!$B$5:$B$204,B15,Tarefas!$H$5:$H$204,"Aberto")+COUNTIFS(Tarefas!$B$5:$B$204,B15,Tarefas!$H$5:$H$204,"Em Andamento")+COUNTIFS(Tarefas!$B$5:$B$204,B15,Tarefas!$H$5:$H$204,"Aguardando")</f>
        <v>1</v>
      </c>
      <c r="E15" s="12" t="n">
        <f aca="false">COUNTIFS(Tarefas!$B$5:$B$204,B15,Tarefas!$H$5:$H$204,"Concluído")</f>
        <v>0</v>
      </c>
      <c r="G15" s="11" t="s">
        <v>27</v>
      </c>
      <c r="H15" s="12" t="n">
        <f aca="false">COUNTIF(Tarefas!$H$5:$H$204,G15)</f>
        <v>0</v>
      </c>
    </row>
    <row r="16" customFormat="false" ht="15" hidden="false" customHeight="false" outlineLevel="0" collapsed="false">
      <c r="B16" s="13" t="s">
        <v>28</v>
      </c>
      <c r="C16" s="14" t="n">
        <f aca="false">COUNTIF(Tarefas!$B$5:$B$204,B16)</f>
        <v>1</v>
      </c>
      <c r="D16" s="14" t="n">
        <f aca="false">COUNTIFS(Tarefas!$B$5:$B$204,B16,Tarefas!$H$5:$H$204,"Aberto")+COUNTIFS(Tarefas!$B$5:$B$204,B16,Tarefas!$H$5:$H$204,"Em Andamento")+COUNTIFS(Tarefas!$B$5:$B$204,B16,Tarefas!$H$5:$H$204,"Aguardando")</f>
        <v>1</v>
      </c>
      <c r="E16" s="14" t="n">
        <f aca="false">COUNTIFS(Tarefas!$B$5:$B$204,B16,Tarefas!$H$5:$H$204,"Concluído")</f>
        <v>0</v>
      </c>
    </row>
    <row r="17" customFormat="false" ht="15" hidden="false" customHeight="false" outlineLevel="0" collapsed="false">
      <c r="B17" s="11" t="s">
        <v>29</v>
      </c>
      <c r="C17" s="12" t="n">
        <f aca="false">COUNTIF(Tarefas!$B$5:$B$204,B17)</f>
        <v>2</v>
      </c>
      <c r="D17" s="12" t="n">
        <f aca="false">COUNTIFS(Tarefas!$B$5:$B$204,B17,Tarefas!$H$5:$H$204,"Aberto")+COUNTIFS(Tarefas!$B$5:$B$204,B17,Tarefas!$H$5:$H$204,"Em Andamento")+COUNTIFS(Tarefas!$B$5:$B$204,B17,Tarefas!$H$5:$H$204,"Aguardando")</f>
        <v>2</v>
      </c>
      <c r="E17" s="12" t="n">
        <f aca="false">COUNTIFS(Tarefas!$B$5:$B$204,B17,Tarefas!$H$5:$H$204,"Concluído")</f>
        <v>0</v>
      </c>
    </row>
    <row r="18" customFormat="false" ht="15" hidden="false" customHeight="false" outlineLevel="0" collapsed="false">
      <c r="B18" s="15" t="s">
        <v>12</v>
      </c>
      <c r="C18" s="16" t="n">
        <f aca="false">SUM(C11:C17)</f>
        <v>10</v>
      </c>
      <c r="D18" s="16" t="n">
        <f aca="false">SUM(D11:D17)</f>
        <v>10</v>
      </c>
      <c r="E18" s="16" t="n">
        <f aca="false">SUM(E11:E17)</f>
        <v>0</v>
      </c>
    </row>
  </sheetData>
  <mergeCells count="6">
    <mergeCell ref="B2:J2"/>
    <mergeCell ref="B3:J3"/>
    <mergeCell ref="B5:J5"/>
    <mergeCell ref="B9:E9"/>
    <mergeCell ref="G9:H9"/>
    <mergeCell ref="I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68"/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42"/>
  </cols>
  <sheetData>
    <row r="1" customFormat="false" ht="31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10" t="s">
        <v>32</v>
      </c>
      <c r="B4" s="10" t="s">
        <v>11</v>
      </c>
      <c r="C4" s="10" t="s">
        <v>33</v>
      </c>
      <c r="D4" s="10" t="s">
        <v>34</v>
      </c>
      <c r="E4" s="10" t="s">
        <v>35</v>
      </c>
      <c r="F4" s="10" t="s">
        <v>36</v>
      </c>
      <c r="G4" s="10" t="s">
        <v>37</v>
      </c>
      <c r="H4" s="10" t="s">
        <v>14</v>
      </c>
      <c r="I4" s="10" t="s">
        <v>15</v>
      </c>
      <c r="J4" s="10" t="s">
        <v>38</v>
      </c>
      <c r="K4" s="10" t="s">
        <v>39</v>
      </c>
    </row>
    <row r="5" customFormat="false" ht="37.5" hidden="false" customHeight="true" outlineLevel="0" collapsed="false">
      <c r="A5" s="17" t="n">
        <v>1</v>
      </c>
      <c r="B5" s="18" t="s">
        <v>16</v>
      </c>
      <c r="C5" s="18" t="s">
        <v>40</v>
      </c>
      <c r="D5" s="18" t="s">
        <v>41</v>
      </c>
      <c r="E5" s="18" t="s">
        <v>42</v>
      </c>
      <c r="F5" s="19" t="n">
        <v>46161</v>
      </c>
      <c r="G5" s="19" t="n">
        <v>46164</v>
      </c>
      <c r="H5" s="17" t="s">
        <v>5</v>
      </c>
      <c r="I5" s="17" t="s">
        <v>18</v>
      </c>
      <c r="J5" s="20" t="n">
        <f aca="true">IF(G5="","",IF(OR(H5="Concluído",H5="Cancelado"),"",G5-TODAY()))</f>
        <v>1</v>
      </c>
    </row>
    <row r="6" customFormat="false" ht="37.5" hidden="false" customHeight="true" outlineLevel="0" collapsed="false">
      <c r="A6" s="17" t="n">
        <v>2</v>
      </c>
      <c r="B6" s="18" t="s">
        <v>19</v>
      </c>
      <c r="C6" s="18" t="s">
        <v>43</v>
      </c>
      <c r="D6" s="18" t="s">
        <v>44</v>
      </c>
      <c r="E6" s="18" t="s">
        <v>45</v>
      </c>
      <c r="F6" s="19" t="n">
        <v>46162</v>
      </c>
      <c r="G6" s="19" t="n">
        <v>46165</v>
      </c>
      <c r="H6" s="17" t="s">
        <v>17</v>
      </c>
      <c r="I6" s="17" t="s">
        <v>18</v>
      </c>
      <c r="J6" s="20" t="n">
        <f aca="true">IF(G6="","",IF(OR(H6="Concluído",H6="Cancelado"),"",G6-TODAY()))</f>
        <v>2</v>
      </c>
    </row>
    <row r="7" customFormat="false" ht="37.5" hidden="false" customHeight="true" outlineLevel="0" collapsed="false">
      <c r="A7" s="17" t="n">
        <v>3</v>
      </c>
      <c r="B7" s="18" t="s">
        <v>21</v>
      </c>
      <c r="C7" s="18" t="s">
        <v>46</v>
      </c>
      <c r="D7" s="18" t="s">
        <v>47</v>
      </c>
      <c r="E7" s="18" t="s">
        <v>42</v>
      </c>
      <c r="F7" s="19" t="n">
        <v>46163</v>
      </c>
      <c r="G7" s="19" t="n">
        <v>46166</v>
      </c>
      <c r="H7" s="17" t="s">
        <v>17</v>
      </c>
      <c r="I7" s="17" t="s">
        <v>20</v>
      </c>
      <c r="J7" s="20" t="n">
        <f aca="true">IF(G7="","",IF(OR(H7="Concluído",H7="Cancelado"),"",G7-TODAY()))</f>
        <v>3</v>
      </c>
    </row>
    <row r="8" customFormat="false" ht="37.5" hidden="false" customHeight="true" outlineLevel="0" collapsed="false">
      <c r="A8" s="17" t="n">
        <v>4</v>
      </c>
      <c r="B8" s="18" t="s">
        <v>24</v>
      </c>
      <c r="C8" s="18" t="s">
        <v>48</v>
      </c>
      <c r="D8" s="18" t="s">
        <v>44</v>
      </c>
      <c r="E8" s="18" t="s">
        <v>42</v>
      </c>
      <c r="F8" s="19" t="n">
        <v>46162</v>
      </c>
      <c r="G8" s="19" t="n">
        <v>46163</v>
      </c>
      <c r="H8" s="17" t="s">
        <v>17</v>
      </c>
      <c r="I8" s="17" t="s">
        <v>18</v>
      </c>
      <c r="J8" s="20" t="n">
        <f aca="true">IF(G8="","",IF(OR(H8="Concluído",H8="Cancelado"),"",G8-TODAY()))</f>
        <v>0</v>
      </c>
    </row>
    <row r="9" customFormat="false" ht="37.5" hidden="false" customHeight="true" outlineLevel="0" collapsed="false">
      <c r="A9" s="17" t="n">
        <v>5</v>
      </c>
      <c r="B9" s="18" t="s">
        <v>26</v>
      </c>
      <c r="C9" s="18" t="s">
        <v>49</v>
      </c>
      <c r="D9" s="18" t="s">
        <v>50</v>
      </c>
      <c r="E9" s="18" t="s">
        <v>51</v>
      </c>
      <c r="F9" s="19" t="n">
        <v>46163</v>
      </c>
      <c r="G9" s="19" t="n">
        <v>46166</v>
      </c>
      <c r="H9" s="17" t="s">
        <v>17</v>
      </c>
      <c r="I9" s="17" t="s">
        <v>20</v>
      </c>
      <c r="J9" s="20" t="n">
        <f aca="true">IF(G9="","",IF(OR(H9="Concluído",H9="Cancelado"),"",G9-TODAY()))</f>
        <v>3</v>
      </c>
    </row>
    <row r="10" customFormat="false" ht="37.5" hidden="false" customHeight="true" outlineLevel="0" collapsed="false">
      <c r="A10" s="17" t="n">
        <v>6</v>
      </c>
      <c r="B10" s="18" t="s">
        <v>28</v>
      </c>
      <c r="C10" s="18" t="s">
        <v>52</v>
      </c>
      <c r="D10" s="18" t="s">
        <v>53</v>
      </c>
      <c r="E10" s="18" t="s">
        <v>28</v>
      </c>
      <c r="F10" s="19" t="n">
        <v>46160</v>
      </c>
      <c r="G10" s="19" t="n">
        <v>46162</v>
      </c>
      <c r="H10" s="17" t="s">
        <v>17</v>
      </c>
      <c r="I10" s="17" t="s">
        <v>18</v>
      </c>
      <c r="J10" s="20" t="n">
        <f aca="true">IF(G10="","",IF(OR(H10="Concluído",H10="Cancelado"),"",G10-TODAY()))</f>
        <v>-1</v>
      </c>
    </row>
    <row r="11" customFormat="false" ht="37.5" hidden="false" customHeight="true" outlineLevel="0" collapsed="false">
      <c r="A11" s="17" t="n">
        <v>7</v>
      </c>
      <c r="B11" s="18" t="s">
        <v>29</v>
      </c>
      <c r="C11" s="18" t="s">
        <v>54</v>
      </c>
      <c r="D11" s="18" t="s">
        <v>41</v>
      </c>
      <c r="E11" s="18" t="s">
        <v>45</v>
      </c>
      <c r="F11" s="19" t="n">
        <v>46161</v>
      </c>
      <c r="G11" s="19" t="n">
        <v>46164</v>
      </c>
      <c r="H11" s="17" t="s">
        <v>5</v>
      </c>
      <c r="I11" s="17" t="s">
        <v>18</v>
      </c>
      <c r="J11" s="20" t="n">
        <f aca="true">IF(G11="","",IF(OR(H11="Concluído",H11="Cancelado"),"",G11-TODAY()))</f>
        <v>1</v>
      </c>
    </row>
    <row r="12" customFormat="false" ht="37.5" hidden="false" customHeight="true" outlineLevel="0" collapsed="false">
      <c r="A12" s="17" t="n">
        <v>8</v>
      </c>
      <c r="B12" s="18" t="s">
        <v>29</v>
      </c>
      <c r="C12" s="18" t="s">
        <v>55</v>
      </c>
      <c r="D12" s="18" t="s">
        <v>47</v>
      </c>
      <c r="E12" s="18" t="s">
        <v>45</v>
      </c>
      <c r="F12" s="19" t="n">
        <v>46162</v>
      </c>
      <c r="G12" s="19" t="n">
        <v>46165</v>
      </c>
      <c r="H12" s="17" t="s">
        <v>17</v>
      </c>
      <c r="I12" s="17" t="s">
        <v>18</v>
      </c>
      <c r="J12" s="20" t="n">
        <f aca="true">IF(G12="","",IF(OR(H12="Concluído",H12="Cancelado"),"",G12-TODAY()))</f>
        <v>2</v>
      </c>
    </row>
    <row r="13" customFormat="false" ht="37.5" hidden="false" customHeight="true" outlineLevel="0" collapsed="false">
      <c r="A13" s="17" t="n">
        <v>9</v>
      </c>
      <c r="B13" s="18" t="s">
        <v>16</v>
      </c>
      <c r="C13" s="18" t="s">
        <v>56</v>
      </c>
      <c r="D13" s="18" t="s">
        <v>53</v>
      </c>
      <c r="E13" s="18" t="s">
        <v>28</v>
      </c>
      <c r="F13" s="19" t="n">
        <v>46159</v>
      </c>
      <c r="G13" s="19" t="n">
        <v>46170</v>
      </c>
      <c r="H13" s="17" t="s">
        <v>5</v>
      </c>
      <c r="I13" s="17" t="s">
        <v>20</v>
      </c>
      <c r="J13" s="20" t="n">
        <f aca="true">IF(G13="","",IF(OR(H13="Concluído",H13="Cancelado"),"",G13-TODAY()))</f>
        <v>7</v>
      </c>
    </row>
    <row r="14" customFormat="false" ht="37.5" hidden="false" customHeight="true" outlineLevel="0" collapsed="false">
      <c r="A14" s="17" t="n">
        <v>10</v>
      </c>
      <c r="B14" s="18" t="s">
        <v>24</v>
      </c>
      <c r="C14" s="18" t="s">
        <v>57</v>
      </c>
      <c r="D14" s="18" t="s">
        <v>58</v>
      </c>
      <c r="E14" s="18" t="s">
        <v>42</v>
      </c>
      <c r="F14" s="19" t="n">
        <v>46158</v>
      </c>
      <c r="G14" s="19" t="n">
        <v>46173</v>
      </c>
      <c r="H14" s="17" t="s">
        <v>22</v>
      </c>
      <c r="I14" s="17" t="s">
        <v>23</v>
      </c>
      <c r="J14" s="20" t="n">
        <f aca="true">IF(G14="","",IF(OR(H14="Concluído",H14="Cancelado"),"",G14-TODAY()))</f>
        <v>10</v>
      </c>
    </row>
    <row r="15" customFormat="false" ht="24" hidden="false" customHeight="true" outlineLevel="0" collapsed="false">
      <c r="A15" s="17" t="str">
        <f aca="false">IF(C15="","",MAX($A$5:A14)+1)</f>
        <v/>
      </c>
      <c r="B15" s="18"/>
      <c r="C15" s="18"/>
      <c r="D15" s="18"/>
      <c r="E15" s="18"/>
      <c r="F15" s="19" t="str">
        <f aca="true">IF(C15="","",IF(F14="",TODAY(),F15))</f>
        <v/>
      </c>
      <c r="G15" s="19"/>
      <c r="H15" s="17"/>
      <c r="I15" s="17"/>
      <c r="J15" s="20" t="str">
        <f aca="true">IF(G15="","",IF(OR(H15="Concluído",H15="Cancelado"),"",G15-TODAY()))</f>
        <v/>
      </c>
      <c r="K15" s="18"/>
    </row>
    <row r="16" customFormat="false" ht="24" hidden="false" customHeight="true" outlineLevel="0" collapsed="false">
      <c r="A16" s="17" t="str">
        <f aca="false">IF(C16="","",MAX($A$5:A15)+1)</f>
        <v/>
      </c>
      <c r="B16" s="18"/>
      <c r="C16" s="18"/>
      <c r="D16" s="18"/>
      <c r="E16" s="18"/>
      <c r="F16" s="19" t="str">
        <f aca="true">IF(C16="","",IF(F15="",TODAY(),F16))</f>
        <v/>
      </c>
      <c r="G16" s="19"/>
      <c r="H16" s="17"/>
      <c r="I16" s="17"/>
      <c r="J16" s="20" t="str">
        <f aca="true">IF(G16="","",IF(OR(H16="Concluído",H16="Cancelado"),"",G16-TODAY()))</f>
        <v/>
      </c>
      <c r="K16" s="18"/>
    </row>
    <row r="17" customFormat="false" ht="24" hidden="false" customHeight="true" outlineLevel="0" collapsed="false">
      <c r="A17" s="17" t="str">
        <f aca="false">IF(C17="","",MAX($A$5:A16)+1)</f>
        <v/>
      </c>
      <c r="B17" s="18"/>
      <c r="C17" s="18"/>
      <c r="D17" s="18"/>
      <c r="E17" s="18"/>
      <c r="F17" s="19" t="str">
        <f aca="true">IF(C17="","",IF(F16="",TODAY(),F17))</f>
        <v/>
      </c>
      <c r="G17" s="19"/>
      <c r="H17" s="17"/>
      <c r="I17" s="17"/>
      <c r="J17" s="20" t="str">
        <f aca="true">IF(G17="","",IF(OR(H17="Concluído",H17="Cancelado"),"",G17-TODAY()))</f>
        <v/>
      </c>
      <c r="K17" s="18"/>
    </row>
    <row r="18" customFormat="false" ht="24" hidden="false" customHeight="true" outlineLevel="0" collapsed="false">
      <c r="A18" s="17" t="str">
        <f aca="false">IF(C18="","",MAX($A$5:A17)+1)</f>
        <v/>
      </c>
      <c r="B18" s="18"/>
      <c r="C18" s="18"/>
      <c r="D18" s="18"/>
      <c r="E18" s="18"/>
      <c r="F18" s="19" t="str">
        <f aca="true">IF(C18="","",IF(F17="",TODAY(),F18))</f>
        <v/>
      </c>
      <c r="G18" s="19"/>
      <c r="H18" s="17"/>
      <c r="I18" s="17"/>
      <c r="J18" s="20" t="str">
        <f aca="true">IF(G18="","",IF(OR(H18="Concluído",H18="Cancelado"),"",G18-TODAY()))</f>
        <v/>
      </c>
      <c r="K18" s="18"/>
    </row>
    <row r="19" customFormat="false" ht="24" hidden="false" customHeight="true" outlineLevel="0" collapsed="false">
      <c r="A19" s="17" t="str">
        <f aca="false">IF(C19="","",MAX($A$5:A18)+1)</f>
        <v/>
      </c>
      <c r="B19" s="18"/>
      <c r="C19" s="18"/>
      <c r="D19" s="18"/>
      <c r="E19" s="18"/>
      <c r="F19" s="19" t="str">
        <f aca="true">IF(C19="","",IF(F18="",TODAY(),F19))</f>
        <v/>
      </c>
      <c r="G19" s="19"/>
      <c r="H19" s="17"/>
      <c r="I19" s="17"/>
      <c r="J19" s="20" t="str">
        <f aca="true">IF(G19="","",IF(OR(H19="Concluído",H19="Cancelado"),"",G19-TODAY()))</f>
        <v/>
      </c>
      <c r="K19" s="18"/>
    </row>
    <row r="20" customFormat="false" ht="24" hidden="false" customHeight="true" outlineLevel="0" collapsed="false">
      <c r="A20" s="17" t="str">
        <f aca="false">IF(C20="","",MAX($A$5:A19)+1)</f>
        <v/>
      </c>
      <c r="B20" s="18"/>
      <c r="C20" s="18"/>
      <c r="D20" s="18"/>
      <c r="E20" s="18"/>
      <c r="F20" s="19" t="str">
        <f aca="true">IF(C20="","",IF(F19="",TODAY(),F20))</f>
        <v/>
      </c>
      <c r="G20" s="19"/>
      <c r="H20" s="17"/>
      <c r="I20" s="17"/>
      <c r="J20" s="20" t="str">
        <f aca="true">IF(G20="","",IF(OR(H20="Concluído",H20="Cancelado"),"",G20-TODAY()))</f>
        <v/>
      </c>
      <c r="K20" s="18"/>
    </row>
    <row r="21" customFormat="false" ht="24" hidden="false" customHeight="true" outlineLevel="0" collapsed="false">
      <c r="A21" s="17" t="str">
        <f aca="false">IF(C21="","",MAX($A$5:A20)+1)</f>
        <v/>
      </c>
      <c r="B21" s="18"/>
      <c r="C21" s="18"/>
      <c r="D21" s="18"/>
      <c r="E21" s="18"/>
      <c r="F21" s="19" t="str">
        <f aca="true">IF(C21="","",IF(F20="",TODAY(),F21))</f>
        <v/>
      </c>
      <c r="G21" s="19"/>
      <c r="H21" s="17"/>
      <c r="I21" s="17"/>
      <c r="J21" s="20" t="str">
        <f aca="true">IF(G21="","",IF(OR(H21="Concluído",H21="Cancelado"),"",G21-TODAY()))</f>
        <v/>
      </c>
      <c r="K21" s="18"/>
    </row>
    <row r="22" customFormat="false" ht="24" hidden="false" customHeight="true" outlineLevel="0" collapsed="false">
      <c r="A22" s="17" t="str">
        <f aca="false">IF(C22="","",MAX($A$5:A21)+1)</f>
        <v/>
      </c>
      <c r="B22" s="18"/>
      <c r="C22" s="18"/>
      <c r="D22" s="18"/>
      <c r="E22" s="18"/>
      <c r="F22" s="19" t="str">
        <f aca="true">IF(C22="","",IF(F21="",TODAY(),F22))</f>
        <v/>
      </c>
      <c r="G22" s="19"/>
      <c r="H22" s="17"/>
      <c r="I22" s="17"/>
      <c r="J22" s="20" t="str">
        <f aca="true">IF(G22="","",IF(OR(H22="Concluído",H22="Cancelado"),"",G22-TODAY()))</f>
        <v/>
      </c>
      <c r="K22" s="18"/>
    </row>
    <row r="23" customFormat="false" ht="24" hidden="false" customHeight="true" outlineLevel="0" collapsed="false">
      <c r="A23" s="17" t="str">
        <f aca="false">IF(C23="","",MAX($A$5:A22)+1)</f>
        <v/>
      </c>
      <c r="B23" s="18"/>
      <c r="C23" s="18"/>
      <c r="D23" s="18"/>
      <c r="E23" s="18"/>
      <c r="F23" s="19" t="str">
        <f aca="true">IF(C23="","",IF(F22="",TODAY(),F23))</f>
        <v/>
      </c>
      <c r="G23" s="19"/>
      <c r="H23" s="17"/>
      <c r="I23" s="17"/>
      <c r="J23" s="20" t="str">
        <f aca="true">IF(G23="","",IF(OR(H23="Concluído",H23="Cancelado"),"",G23-TODAY()))</f>
        <v/>
      </c>
      <c r="K23" s="18"/>
    </row>
    <row r="24" customFormat="false" ht="24" hidden="false" customHeight="true" outlineLevel="0" collapsed="false">
      <c r="A24" s="17" t="str">
        <f aca="false">IF(C24="","",MAX($A$5:A23)+1)</f>
        <v/>
      </c>
      <c r="B24" s="18"/>
      <c r="C24" s="18"/>
      <c r="D24" s="18"/>
      <c r="E24" s="18"/>
      <c r="F24" s="19" t="str">
        <f aca="true">IF(C24="","",IF(F23="",TODAY(),F24))</f>
        <v/>
      </c>
      <c r="G24" s="19"/>
      <c r="H24" s="17"/>
      <c r="I24" s="17"/>
      <c r="J24" s="20" t="str">
        <f aca="true">IF(G24="","",IF(OR(H24="Concluído",H24="Cancelado"),"",G24-TODAY()))</f>
        <v/>
      </c>
      <c r="K24" s="18"/>
    </row>
    <row r="25" customFormat="false" ht="24" hidden="false" customHeight="true" outlineLevel="0" collapsed="false">
      <c r="A25" s="17" t="str">
        <f aca="false">IF(C25="","",MAX($A$5:A24)+1)</f>
        <v/>
      </c>
      <c r="B25" s="18"/>
      <c r="C25" s="18"/>
      <c r="D25" s="18"/>
      <c r="E25" s="18"/>
      <c r="F25" s="19" t="str">
        <f aca="true">IF(C25="","",IF(F24="",TODAY(),F25))</f>
        <v/>
      </c>
      <c r="G25" s="19"/>
      <c r="H25" s="17"/>
      <c r="I25" s="17"/>
      <c r="J25" s="20" t="str">
        <f aca="true">IF(G25="","",IF(OR(H25="Concluído",H25="Cancelado"),"",G25-TODAY()))</f>
        <v/>
      </c>
      <c r="K25" s="18"/>
    </row>
    <row r="26" customFormat="false" ht="24" hidden="false" customHeight="true" outlineLevel="0" collapsed="false">
      <c r="A26" s="17" t="str">
        <f aca="false">IF(C26="","",MAX($A$5:A25)+1)</f>
        <v/>
      </c>
      <c r="B26" s="18"/>
      <c r="C26" s="18"/>
      <c r="D26" s="18"/>
      <c r="E26" s="18"/>
      <c r="F26" s="19" t="str">
        <f aca="true">IF(C26="","",IF(F25="",TODAY(),F26))</f>
        <v/>
      </c>
      <c r="G26" s="19"/>
      <c r="H26" s="17"/>
      <c r="I26" s="17"/>
      <c r="J26" s="20" t="str">
        <f aca="true">IF(G26="","",IF(OR(H26="Concluído",H26="Cancelado"),"",G26-TODAY()))</f>
        <v/>
      </c>
      <c r="K26" s="18"/>
    </row>
    <row r="27" customFormat="false" ht="24" hidden="false" customHeight="true" outlineLevel="0" collapsed="false">
      <c r="A27" s="17" t="str">
        <f aca="false">IF(C27="","",MAX($A$5:A26)+1)</f>
        <v/>
      </c>
      <c r="B27" s="18"/>
      <c r="C27" s="18"/>
      <c r="D27" s="18"/>
      <c r="E27" s="18"/>
      <c r="F27" s="19" t="str">
        <f aca="true">IF(C27="","",IF(F26="",TODAY(),F27))</f>
        <v/>
      </c>
      <c r="G27" s="19"/>
      <c r="H27" s="17"/>
      <c r="I27" s="17"/>
      <c r="J27" s="20" t="str">
        <f aca="true">IF(G27="","",IF(OR(H27="Concluído",H27="Cancelado"),"",G27-TODAY()))</f>
        <v/>
      </c>
      <c r="K27" s="18"/>
    </row>
    <row r="28" customFormat="false" ht="24" hidden="false" customHeight="true" outlineLevel="0" collapsed="false">
      <c r="A28" s="17" t="str">
        <f aca="false">IF(C28="","",MAX($A$5:A27)+1)</f>
        <v/>
      </c>
      <c r="B28" s="18"/>
      <c r="C28" s="18"/>
      <c r="D28" s="18"/>
      <c r="E28" s="18"/>
      <c r="F28" s="19" t="str">
        <f aca="true">IF(C28="","",IF(F27="",TODAY(),F28))</f>
        <v/>
      </c>
      <c r="G28" s="19"/>
      <c r="H28" s="17"/>
      <c r="I28" s="17"/>
      <c r="J28" s="20" t="str">
        <f aca="true">IF(G28="","",IF(OR(H28="Concluído",H28="Cancelado"),"",G28-TODAY()))</f>
        <v/>
      </c>
      <c r="K28" s="18"/>
    </row>
    <row r="29" customFormat="false" ht="24" hidden="false" customHeight="true" outlineLevel="0" collapsed="false">
      <c r="A29" s="17" t="str">
        <f aca="false">IF(C29="","",MAX($A$5:A28)+1)</f>
        <v/>
      </c>
      <c r="B29" s="18"/>
      <c r="C29" s="18"/>
      <c r="D29" s="18"/>
      <c r="E29" s="18"/>
      <c r="F29" s="19" t="str">
        <f aca="true">IF(C29="","",IF(F28="",TODAY(),F29))</f>
        <v/>
      </c>
      <c r="G29" s="19"/>
      <c r="H29" s="17"/>
      <c r="I29" s="17"/>
      <c r="J29" s="20" t="str">
        <f aca="true">IF(G29="","",IF(OR(H29="Concluído",H29="Cancelado"),"",G29-TODAY()))</f>
        <v/>
      </c>
      <c r="K29" s="18"/>
    </row>
    <row r="30" customFormat="false" ht="24" hidden="false" customHeight="true" outlineLevel="0" collapsed="false">
      <c r="A30" s="17" t="str">
        <f aca="false">IF(C30="","",MAX($A$5:A29)+1)</f>
        <v/>
      </c>
      <c r="B30" s="18"/>
      <c r="C30" s="18"/>
      <c r="D30" s="18"/>
      <c r="E30" s="18"/>
      <c r="F30" s="19" t="str">
        <f aca="true">IF(C30="","",IF(F29="",TODAY(),F30))</f>
        <v/>
      </c>
      <c r="G30" s="19"/>
      <c r="H30" s="17"/>
      <c r="I30" s="17"/>
      <c r="J30" s="20" t="str">
        <f aca="true">IF(G30="","",IF(OR(H30="Concluído",H30="Cancelado"),"",G30-TODAY()))</f>
        <v/>
      </c>
      <c r="K30" s="18"/>
    </row>
    <row r="31" customFormat="false" ht="24" hidden="false" customHeight="true" outlineLevel="0" collapsed="false">
      <c r="A31" s="17" t="str">
        <f aca="false">IF(C31="","",MAX($A$5:A30)+1)</f>
        <v/>
      </c>
      <c r="B31" s="18"/>
      <c r="C31" s="18"/>
      <c r="D31" s="18"/>
      <c r="E31" s="18"/>
      <c r="F31" s="19" t="str">
        <f aca="true">IF(C31="","",IF(F30="",TODAY(),F31))</f>
        <v/>
      </c>
      <c r="G31" s="19"/>
      <c r="H31" s="17"/>
      <c r="I31" s="17"/>
      <c r="J31" s="20" t="str">
        <f aca="true">IF(G31="","",IF(OR(H31="Concluído",H31="Cancelado"),"",G31-TODAY()))</f>
        <v/>
      </c>
      <c r="K31" s="18"/>
    </row>
    <row r="32" customFormat="false" ht="24" hidden="false" customHeight="true" outlineLevel="0" collapsed="false">
      <c r="A32" s="17" t="str">
        <f aca="false">IF(C32="","",MAX($A$5:A31)+1)</f>
        <v/>
      </c>
      <c r="B32" s="18"/>
      <c r="C32" s="18"/>
      <c r="D32" s="18"/>
      <c r="E32" s="18"/>
      <c r="F32" s="19" t="str">
        <f aca="true">IF(C32="","",IF(F31="",TODAY(),F32))</f>
        <v/>
      </c>
      <c r="G32" s="19"/>
      <c r="H32" s="17"/>
      <c r="I32" s="17"/>
      <c r="J32" s="20" t="str">
        <f aca="true">IF(G32="","",IF(OR(H32="Concluído",H32="Cancelado"),"",G32-TODAY()))</f>
        <v/>
      </c>
      <c r="K32" s="18"/>
    </row>
    <row r="33" customFormat="false" ht="24" hidden="false" customHeight="true" outlineLevel="0" collapsed="false">
      <c r="A33" s="17" t="str">
        <f aca="false">IF(C33="","",MAX($A$5:A32)+1)</f>
        <v/>
      </c>
      <c r="B33" s="18"/>
      <c r="C33" s="18"/>
      <c r="D33" s="18"/>
      <c r="E33" s="18"/>
      <c r="F33" s="19" t="str">
        <f aca="true">IF(C33="","",IF(F32="",TODAY(),F33))</f>
        <v/>
      </c>
      <c r="G33" s="19"/>
      <c r="H33" s="17"/>
      <c r="I33" s="17"/>
      <c r="J33" s="20" t="str">
        <f aca="true">IF(G33="","",IF(OR(H33="Concluído",H33="Cancelado"),"",G33-TODAY()))</f>
        <v/>
      </c>
      <c r="K33" s="18"/>
    </row>
    <row r="34" customFormat="false" ht="24" hidden="false" customHeight="true" outlineLevel="0" collapsed="false">
      <c r="A34" s="17" t="str">
        <f aca="false">IF(C34="","",MAX($A$5:A33)+1)</f>
        <v/>
      </c>
      <c r="B34" s="18"/>
      <c r="C34" s="18"/>
      <c r="D34" s="18"/>
      <c r="E34" s="18"/>
      <c r="F34" s="19" t="str">
        <f aca="true">IF(C34="","",IF(F33="",TODAY(),F34))</f>
        <v/>
      </c>
      <c r="G34" s="19"/>
      <c r="H34" s="17"/>
      <c r="I34" s="17"/>
      <c r="J34" s="20" t="str">
        <f aca="true">IF(G34="","",IF(OR(H34="Concluído",H34="Cancelado"),"",G34-TODAY()))</f>
        <v/>
      </c>
      <c r="K34" s="18"/>
    </row>
    <row r="35" customFormat="false" ht="24" hidden="false" customHeight="true" outlineLevel="0" collapsed="false">
      <c r="A35" s="17" t="str">
        <f aca="false">IF(C35="","",MAX($A$5:A34)+1)</f>
        <v/>
      </c>
      <c r="B35" s="18"/>
      <c r="C35" s="18"/>
      <c r="D35" s="18"/>
      <c r="E35" s="18"/>
      <c r="F35" s="19" t="str">
        <f aca="true">IF(C35="","",IF(F34="",TODAY(),F35))</f>
        <v/>
      </c>
      <c r="G35" s="19"/>
      <c r="H35" s="17"/>
      <c r="I35" s="17"/>
      <c r="J35" s="20" t="str">
        <f aca="true">IF(G35="","",IF(OR(H35="Concluído",H35="Cancelado"),"",G35-TODAY()))</f>
        <v/>
      </c>
      <c r="K35" s="18"/>
    </row>
    <row r="36" customFormat="false" ht="24" hidden="false" customHeight="true" outlineLevel="0" collapsed="false">
      <c r="A36" s="17" t="str">
        <f aca="false">IF(C36="","",MAX($A$5:A35)+1)</f>
        <v/>
      </c>
      <c r="B36" s="18"/>
      <c r="C36" s="18"/>
      <c r="D36" s="18"/>
      <c r="E36" s="18"/>
      <c r="F36" s="19" t="str">
        <f aca="true">IF(C36="","",IF(F35="",TODAY(),F36))</f>
        <v/>
      </c>
      <c r="G36" s="19"/>
      <c r="H36" s="17"/>
      <c r="I36" s="17"/>
      <c r="J36" s="20" t="str">
        <f aca="true">IF(G36="","",IF(OR(H36="Concluído",H36="Cancelado"),"",G36-TODAY()))</f>
        <v/>
      </c>
      <c r="K36" s="18"/>
    </row>
    <row r="37" customFormat="false" ht="24" hidden="false" customHeight="true" outlineLevel="0" collapsed="false">
      <c r="A37" s="17" t="str">
        <f aca="false">IF(C37="","",MAX($A$5:A36)+1)</f>
        <v/>
      </c>
      <c r="B37" s="18"/>
      <c r="C37" s="18"/>
      <c r="D37" s="18"/>
      <c r="E37" s="18"/>
      <c r="F37" s="19" t="str">
        <f aca="true">IF(C37="","",IF(F36="",TODAY(),F37))</f>
        <v/>
      </c>
      <c r="G37" s="19"/>
      <c r="H37" s="17"/>
      <c r="I37" s="17"/>
      <c r="J37" s="20" t="str">
        <f aca="true">IF(G37="","",IF(OR(H37="Concluído",H37="Cancelado"),"",G37-TODAY()))</f>
        <v/>
      </c>
      <c r="K37" s="18"/>
    </row>
    <row r="38" customFormat="false" ht="24" hidden="false" customHeight="true" outlineLevel="0" collapsed="false">
      <c r="A38" s="17" t="str">
        <f aca="false">IF(C38="","",MAX($A$5:A37)+1)</f>
        <v/>
      </c>
      <c r="B38" s="18"/>
      <c r="C38" s="18"/>
      <c r="D38" s="18"/>
      <c r="E38" s="18"/>
      <c r="F38" s="19" t="str">
        <f aca="true">IF(C38="","",IF(F37="",TODAY(),F38))</f>
        <v/>
      </c>
      <c r="G38" s="19"/>
      <c r="H38" s="17"/>
      <c r="I38" s="17"/>
      <c r="J38" s="20" t="str">
        <f aca="true">IF(G38="","",IF(OR(H38="Concluído",H38="Cancelado"),"",G38-TODAY()))</f>
        <v/>
      </c>
      <c r="K38" s="18"/>
    </row>
    <row r="39" customFormat="false" ht="24" hidden="false" customHeight="true" outlineLevel="0" collapsed="false">
      <c r="A39" s="17" t="str">
        <f aca="false">IF(C39="","",MAX($A$5:A38)+1)</f>
        <v/>
      </c>
      <c r="B39" s="18"/>
      <c r="C39" s="18"/>
      <c r="D39" s="18"/>
      <c r="E39" s="18"/>
      <c r="F39" s="19" t="str">
        <f aca="true">IF(C39="","",IF(F38="",TODAY(),F39))</f>
        <v/>
      </c>
      <c r="G39" s="19"/>
      <c r="H39" s="17"/>
      <c r="I39" s="17"/>
      <c r="J39" s="20" t="str">
        <f aca="true">IF(G39="","",IF(OR(H39="Concluído",H39="Cancelado"),"",G39-TODAY()))</f>
        <v/>
      </c>
      <c r="K39" s="18"/>
    </row>
    <row r="40" customFormat="false" ht="24" hidden="false" customHeight="true" outlineLevel="0" collapsed="false">
      <c r="A40" s="17" t="str">
        <f aca="false">IF(C40="","",MAX($A$5:A39)+1)</f>
        <v/>
      </c>
      <c r="B40" s="18"/>
      <c r="C40" s="18"/>
      <c r="D40" s="18"/>
      <c r="E40" s="18"/>
      <c r="F40" s="19" t="str">
        <f aca="true">IF(C40="","",IF(F39="",TODAY(),F40))</f>
        <v/>
      </c>
      <c r="G40" s="19"/>
      <c r="H40" s="17"/>
      <c r="I40" s="17"/>
      <c r="J40" s="20" t="str">
        <f aca="true">IF(G40="","",IF(OR(H40="Concluído",H40="Cancelado"),"",G40-TODAY()))</f>
        <v/>
      </c>
      <c r="K40" s="18"/>
    </row>
    <row r="41" customFormat="false" ht="24" hidden="false" customHeight="true" outlineLevel="0" collapsed="false">
      <c r="A41" s="17" t="str">
        <f aca="false">IF(C41="","",MAX($A$5:A40)+1)</f>
        <v/>
      </c>
      <c r="B41" s="18"/>
      <c r="C41" s="18"/>
      <c r="D41" s="18"/>
      <c r="E41" s="18"/>
      <c r="F41" s="19" t="str">
        <f aca="true">IF(C41="","",IF(F40="",TODAY(),F41))</f>
        <v/>
      </c>
      <c r="G41" s="19"/>
      <c r="H41" s="17"/>
      <c r="I41" s="17"/>
      <c r="J41" s="20" t="str">
        <f aca="true">IF(G41="","",IF(OR(H41="Concluído",H41="Cancelado"),"",G41-TODAY()))</f>
        <v/>
      </c>
      <c r="K41" s="18"/>
    </row>
    <row r="42" customFormat="false" ht="24" hidden="false" customHeight="true" outlineLevel="0" collapsed="false">
      <c r="A42" s="17" t="str">
        <f aca="false">IF(C42="","",MAX($A$5:A41)+1)</f>
        <v/>
      </c>
      <c r="B42" s="18"/>
      <c r="C42" s="18"/>
      <c r="D42" s="18"/>
      <c r="E42" s="18"/>
      <c r="F42" s="19" t="str">
        <f aca="true">IF(C42="","",IF(F41="",TODAY(),F42))</f>
        <v/>
      </c>
      <c r="G42" s="19"/>
      <c r="H42" s="17"/>
      <c r="I42" s="17"/>
      <c r="J42" s="20" t="str">
        <f aca="true">IF(G42="","",IF(OR(H42="Concluído",H42="Cancelado"),"",G42-TODAY()))</f>
        <v/>
      </c>
      <c r="K42" s="18"/>
    </row>
    <row r="43" customFormat="false" ht="24" hidden="false" customHeight="true" outlineLevel="0" collapsed="false">
      <c r="A43" s="17" t="str">
        <f aca="false">IF(C43="","",MAX($A$5:A42)+1)</f>
        <v/>
      </c>
      <c r="B43" s="18"/>
      <c r="C43" s="18"/>
      <c r="D43" s="18"/>
      <c r="E43" s="18"/>
      <c r="F43" s="19" t="str">
        <f aca="true">IF(C43="","",IF(F42="",TODAY(),F43))</f>
        <v/>
      </c>
      <c r="G43" s="19"/>
      <c r="H43" s="17"/>
      <c r="I43" s="17"/>
      <c r="J43" s="20" t="str">
        <f aca="true">IF(G43="","",IF(OR(H43="Concluído",H43="Cancelado"),"",G43-TODAY()))</f>
        <v/>
      </c>
      <c r="K43" s="18"/>
    </row>
    <row r="44" customFormat="false" ht="24" hidden="false" customHeight="true" outlineLevel="0" collapsed="false">
      <c r="A44" s="17" t="str">
        <f aca="false">IF(C44="","",MAX($A$5:A43)+1)</f>
        <v/>
      </c>
      <c r="B44" s="18"/>
      <c r="C44" s="18"/>
      <c r="D44" s="18"/>
      <c r="E44" s="18"/>
      <c r="F44" s="19" t="str">
        <f aca="true">IF(C44="","",IF(F43="",TODAY(),F44))</f>
        <v/>
      </c>
      <c r="G44" s="19"/>
      <c r="H44" s="17"/>
      <c r="I44" s="17"/>
      <c r="J44" s="20" t="str">
        <f aca="true">IF(G44="","",IF(OR(H44="Concluído",H44="Cancelado"),"",G44-TODAY()))</f>
        <v/>
      </c>
      <c r="K44" s="18"/>
    </row>
    <row r="45" customFormat="false" ht="24" hidden="false" customHeight="true" outlineLevel="0" collapsed="false">
      <c r="A45" s="17" t="str">
        <f aca="false">IF(C45="","",MAX($A$5:A44)+1)</f>
        <v/>
      </c>
      <c r="B45" s="18"/>
      <c r="C45" s="18"/>
      <c r="D45" s="18"/>
      <c r="E45" s="18"/>
      <c r="F45" s="19" t="str">
        <f aca="true">IF(C45="","",IF(F44="",TODAY(),F45))</f>
        <v/>
      </c>
      <c r="G45" s="19"/>
      <c r="H45" s="17"/>
      <c r="I45" s="17"/>
      <c r="J45" s="20" t="str">
        <f aca="true">IF(G45="","",IF(OR(H45="Concluído",H45="Cancelado"),"",G45-TODAY()))</f>
        <v/>
      </c>
      <c r="K45" s="18"/>
    </row>
    <row r="46" customFormat="false" ht="24" hidden="false" customHeight="true" outlineLevel="0" collapsed="false">
      <c r="A46" s="17" t="str">
        <f aca="false">IF(C46="","",MAX($A$5:A45)+1)</f>
        <v/>
      </c>
      <c r="B46" s="18"/>
      <c r="C46" s="18"/>
      <c r="D46" s="18"/>
      <c r="E46" s="18"/>
      <c r="F46" s="19" t="str">
        <f aca="true">IF(C46="","",IF(F45="",TODAY(),F46))</f>
        <v/>
      </c>
      <c r="G46" s="19"/>
      <c r="H46" s="17"/>
      <c r="I46" s="17"/>
      <c r="J46" s="20" t="str">
        <f aca="true">IF(G46="","",IF(OR(H46="Concluído",H46="Cancelado"),"",G46-TODAY()))</f>
        <v/>
      </c>
      <c r="K46" s="18"/>
    </row>
    <row r="47" customFormat="false" ht="24" hidden="false" customHeight="true" outlineLevel="0" collapsed="false">
      <c r="A47" s="17" t="str">
        <f aca="false">IF(C47="","",MAX($A$5:A46)+1)</f>
        <v/>
      </c>
      <c r="B47" s="18"/>
      <c r="C47" s="18"/>
      <c r="D47" s="18"/>
      <c r="E47" s="18"/>
      <c r="F47" s="19" t="str">
        <f aca="true">IF(C47="","",IF(F46="",TODAY(),F47))</f>
        <v/>
      </c>
      <c r="G47" s="19"/>
      <c r="H47" s="17"/>
      <c r="I47" s="17"/>
      <c r="J47" s="20" t="str">
        <f aca="true">IF(G47="","",IF(OR(H47="Concluído",H47="Cancelado"),"",G47-TODAY()))</f>
        <v/>
      </c>
      <c r="K47" s="18"/>
    </row>
    <row r="48" customFormat="false" ht="24" hidden="false" customHeight="true" outlineLevel="0" collapsed="false">
      <c r="A48" s="17" t="str">
        <f aca="false">IF(C48="","",MAX($A$5:A47)+1)</f>
        <v/>
      </c>
      <c r="B48" s="18"/>
      <c r="C48" s="18"/>
      <c r="D48" s="18"/>
      <c r="E48" s="18"/>
      <c r="F48" s="19" t="str">
        <f aca="true">IF(C48="","",IF(F47="",TODAY(),F48))</f>
        <v/>
      </c>
      <c r="G48" s="19"/>
      <c r="H48" s="17"/>
      <c r="I48" s="17"/>
      <c r="J48" s="20" t="str">
        <f aca="true">IF(G48="","",IF(OR(H48="Concluído",H48="Cancelado"),"",G48-TODAY()))</f>
        <v/>
      </c>
      <c r="K48" s="18"/>
    </row>
    <row r="49" customFormat="false" ht="24" hidden="false" customHeight="true" outlineLevel="0" collapsed="false">
      <c r="A49" s="17" t="str">
        <f aca="false">IF(C49="","",MAX($A$5:A48)+1)</f>
        <v/>
      </c>
      <c r="B49" s="18"/>
      <c r="C49" s="18"/>
      <c r="D49" s="18"/>
      <c r="E49" s="18"/>
      <c r="F49" s="19" t="str">
        <f aca="true">IF(C49="","",IF(F48="",TODAY(),F49))</f>
        <v/>
      </c>
      <c r="G49" s="19"/>
      <c r="H49" s="17"/>
      <c r="I49" s="17"/>
      <c r="J49" s="20" t="str">
        <f aca="true">IF(G49="","",IF(OR(H49="Concluído",H49="Cancelado"),"",G49-TODAY()))</f>
        <v/>
      </c>
      <c r="K49" s="18"/>
    </row>
    <row r="50" customFormat="false" ht="24" hidden="false" customHeight="true" outlineLevel="0" collapsed="false">
      <c r="A50" s="17" t="str">
        <f aca="false">IF(C50="","",MAX($A$5:A49)+1)</f>
        <v/>
      </c>
      <c r="B50" s="18"/>
      <c r="C50" s="18"/>
      <c r="D50" s="18"/>
      <c r="E50" s="18"/>
      <c r="F50" s="19" t="str">
        <f aca="true">IF(C50="","",IF(F49="",TODAY(),F50))</f>
        <v/>
      </c>
      <c r="G50" s="19"/>
      <c r="H50" s="17"/>
      <c r="I50" s="17"/>
      <c r="J50" s="20" t="str">
        <f aca="true">IF(G50="","",IF(OR(H50="Concluído",H50="Cancelado"),"",G50-TODAY()))</f>
        <v/>
      </c>
      <c r="K50" s="18"/>
    </row>
    <row r="51" customFormat="false" ht="24" hidden="false" customHeight="true" outlineLevel="0" collapsed="false">
      <c r="A51" s="17" t="str">
        <f aca="false">IF(C51="","",MAX($A$5:A50)+1)</f>
        <v/>
      </c>
      <c r="B51" s="18"/>
      <c r="C51" s="18"/>
      <c r="D51" s="18"/>
      <c r="E51" s="18"/>
      <c r="F51" s="19" t="str">
        <f aca="true">IF(C51="","",IF(F50="",TODAY(),F51))</f>
        <v/>
      </c>
      <c r="G51" s="19"/>
      <c r="H51" s="17"/>
      <c r="I51" s="17"/>
      <c r="J51" s="20" t="str">
        <f aca="true">IF(G51="","",IF(OR(H51="Concluído",H51="Cancelado"),"",G51-TODAY()))</f>
        <v/>
      </c>
      <c r="K51" s="18"/>
    </row>
    <row r="52" customFormat="false" ht="24" hidden="false" customHeight="true" outlineLevel="0" collapsed="false">
      <c r="A52" s="17" t="str">
        <f aca="false">IF(C52="","",MAX($A$5:A51)+1)</f>
        <v/>
      </c>
      <c r="B52" s="18"/>
      <c r="C52" s="18"/>
      <c r="D52" s="18"/>
      <c r="E52" s="18"/>
      <c r="F52" s="19" t="str">
        <f aca="true">IF(C52="","",IF(F51="",TODAY(),F52))</f>
        <v/>
      </c>
      <c r="G52" s="19"/>
      <c r="H52" s="17"/>
      <c r="I52" s="17"/>
      <c r="J52" s="20" t="str">
        <f aca="true">IF(G52="","",IF(OR(H52="Concluído",H52="Cancelado"),"",G52-TODAY()))</f>
        <v/>
      </c>
      <c r="K52" s="18"/>
    </row>
    <row r="53" customFormat="false" ht="24" hidden="false" customHeight="true" outlineLevel="0" collapsed="false">
      <c r="A53" s="17" t="str">
        <f aca="false">IF(C53="","",MAX($A$5:A52)+1)</f>
        <v/>
      </c>
      <c r="B53" s="18"/>
      <c r="C53" s="18"/>
      <c r="D53" s="18"/>
      <c r="E53" s="18"/>
      <c r="F53" s="19" t="str">
        <f aca="true">IF(C53="","",IF(F52="",TODAY(),F53))</f>
        <v/>
      </c>
      <c r="G53" s="19"/>
      <c r="H53" s="17"/>
      <c r="I53" s="17"/>
      <c r="J53" s="20" t="str">
        <f aca="true">IF(G53="","",IF(OR(H53="Concluído",H53="Cancelado"),"",G53-TODAY()))</f>
        <v/>
      </c>
      <c r="K53" s="18"/>
    </row>
    <row r="54" customFormat="false" ht="24" hidden="false" customHeight="true" outlineLevel="0" collapsed="false">
      <c r="A54" s="17" t="str">
        <f aca="false">IF(C54="","",MAX($A$5:A53)+1)</f>
        <v/>
      </c>
      <c r="B54" s="18"/>
      <c r="C54" s="18"/>
      <c r="D54" s="18"/>
      <c r="E54" s="18"/>
      <c r="F54" s="19" t="str">
        <f aca="true">IF(C54="","",IF(F53="",TODAY(),F54))</f>
        <v/>
      </c>
      <c r="G54" s="19"/>
      <c r="H54" s="17"/>
      <c r="I54" s="17"/>
      <c r="J54" s="20" t="str">
        <f aca="true">IF(G54="","",IF(OR(H54="Concluído",H54="Cancelado"),"",G54-TODAY()))</f>
        <v/>
      </c>
      <c r="K54" s="18"/>
    </row>
    <row r="55" customFormat="false" ht="24" hidden="false" customHeight="true" outlineLevel="0" collapsed="false">
      <c r="A55" s="17" t="str">
        <f aca="false">IF(C55="","",MAX($A$5:A54)+1)</f>
        <v/>
      </c>
      <c r="B55" s="18"/>
      <c r="C55" s="18"/>
      <c r="D55" s="18"/>
      <c r="E55" s="18"/>
      <c r="F55" s="19" t="str">
        <f aca="true">IF(C55="","",IF(F54="",TODAY(),F55))</f>
        <v/>
      </c>
      <c r="G55" s="19"/>
      <c r="H55" s="17"/>
      <c r="I55" s="17"/>
      <c r="J55" s="20" t="str">
        <f aca="true">IF(G55="","",IF(OR(H55="Concluído",H55="Cancelado"),"",G55-TODAY()))</f>
        <v/>
      </c>
      <c r="K55" s="18"/>
    </row>
    <row r="56" customFormat="false" ht="24" hidden="false" customHeight="true" outlineLevel="0" collapsed="false">
      <c r="A56" s="17" t="str">
        <f aca="false">IF(C56="","",MAX($A$5:A55)+1)</f>
        <v/>
      </c>
      <c r="B56" s="18"/>
      <c r="C56" s="18"/>
      <c r="D56" s="18"/>
      <c r="E56" s="18"/>
      <c r="F56" s="19" t="str">
        <f aca="true">IF(C56="","",IF(F55="",TODAY(),F56))</f>
        <v/>
      </c>
      <c r="G56" s="19"/>
      <c r="H56" s="17"/>
      <c r="I56" s="17"/>
      <c r="J56" s="20" t="str">
        <f aca="true">IF(G56="","",IF(OR(H56="Concluído",H56="Cancelado"),"",G56-TODAY()))</f>
        <v/>
      </c>
      <c r="K56" s="18"/>
    </row>
    <row r="57" customFormat="false" ht="24" hidden="false" customHeight="true" outlineLevel="0" collapsed="false">
      <c r="A57" s="17" t="str">
        <f aca="false">IF(C57="","",MAX($A$5:A56)+1)</f>
        <v/>
      </c>
      <c r="B57" s="18"/>
      <c r="C57" s="18"/>
      <c r="D57" s="18"/>
      <c r="E57" s="18"/>
      <c r="F57" s="19" t="str">
        <f aca="true">IF(C57="","",IF(F56="",TODAY(),F57))</f>
        <v/>
      </c>
      <c r="G57" s="19"/>
      <c r="H57" s="17"/>
      <c r="I57" s="17"/>
      <c r="J57" s="20" t="str">
        <f aca="true">IF(G57="","",IF(OR(H57="Concluído",H57="Cancelado"),"",G57-TODAY()))</f>
        <v/>
      </c>
      <c r="K57" s="18"/>
    </row>
    <row r="58" customFormat="false" ht="24" hidden="false" customHeight="true" outlineLevel="0" collapsed="false">
      <c r="A58" s="17" t="str">
        <f aca="false">IF(C58="","",MAX($A$5:A57)+1)</f>
        <v/>
      </c>
      <c r="B58" s="18"/>
      <c r="C58" s="18"/>
      <c r="D58" s="18"/>
      <c r="E58" s="18"/>
      <c r="F58" s="19" t="str">
        <f aca="true">IF(C58="","",IF(F57="",TODAY(),F58))</f>
        <v/>
      </c>
      <c r="G58" s="19"/>
      <c r="H58" s="17"/>
      <c r="I58" s="17"/>
      <c r="J58" s="20" t="str">
        <f aca="true">IF(G58="","",IF(OR(H58="Concluído",H58="Cancelado"),"",G58-TODAY()))</f>
        <v/>
      </c>
      <c r="K58" s="18"/>
    </row>
    <row r="59" customFormat="false" ht="24" hidden="false" customHeight="true" outlineLevel="0" collapsed="false">
      <c r="A59" s="17" t="str">
        <f aca="false">IF(C59="","",MAX($A$5:A58)+1)</f>
        <v/>
      </c>
      <c r="B59" s="18"/>
      <c r="C59" s="18"/>
      <c r="D59" s="18"/>
      <c r="E59" s="18"/>
      <c r="F59" s="19" t="str">
        <f aca="true">IF(C59="","",IF(F58="",TODAY(),F59))</f>
        <v/>
      </c>
      <c r="G59" s="19"/>
      <c r="H59" s="17"/>
      <c r="I59" s="17"/>
      <c r="J59" s="20" t="str">
        <f aca="true">IF(G59="","",IF(OR(H59="Concluído",H59="Cancelado"),"",G59-TODAY()))</f>
        <v/>
      </c>
      <c r="K59" s="18"/>
    </row>
    <row r="60" customFormat="false" ht="24" hidden="false" customHeight="true" outlineLevel="0" collapsed="false">
      <c r="A60" s="17" t="str">
        <f aca="false">IF(C60="","",MAX($A$5:A59)+1)</f>
        <v/>
      </c>
      <c r="B60" s="18"/>
      <c r="C60" s="18"/>
      <c r="D60" s="18"/>
      <c r="E60" s="18"/>
      <c r="F60" s="19" t="str">
        <f aca="true">IF(C60="","",IF(F59="",TODAY(),F60))</f>
        <v/>
      </c>
      <c r="G60" s="19"/>
      <c r="H60" s="17"/>
      <c r="I60" s="17"/>
      <c r="J60" s="20" t="str">
        <f aca="true">IF(G60="","",IF(OR(H60="Concluído",H60="Cancelado"),"",G60-TODAY()))</f>
        <v/>
      </c>
      <c r="K60" s="18"/>
    </row>
    <row r="61" customFormat="false" ht="24" hidden="false" customHeight="true" outlineLevel="0" collapsed="false">
      <c r="A61" s="17" t="str">
        <f aca="false">IF(C61="","",MAX($A$5:A60)+1)</f>
        <v/>
      </c>
      <c r="B61" s="18"/>
      <c r="C61" s="18"/>
      <c r="D61" s="18"/>
      <c r="E61" s="18"/>
      <c r="F61" s="19" t="str">
        <f aca="true">IF(C61="","",IF(F60="",TODAY(),F61))</f>
        <v/>
      </c>
      <c r="G61" s="19"/>
      <c r="H61" s="17"/>
      <c r="I61" s="17"/>
      <c r="J61" s="20" t="str">
        <f aca="true">IF(G61="","",IF(OR(H61="Concluído",H61="Cancelado"),"",G61-TODAY()))</f>
        <v/>
      </c>
      <c r="K61" s="18"/>
    </row>
    <row r="62" customFormat="false" ht="24" hidden="false" customHeight="true" outlineLevel="0" collapsed="false">
      <c r="A62" s="17" t="str">
        <f aca="false">IF(C62="","",MAX($A$5:A61)+1)</f>
        <v/>
      </c>
      <c r="B62" s="18"/>
      <c r="C62" s="18"/>
      <c r="D62" s="18"/>
      <c r="E62" s="18"/>
      <c r="F62" s="19" t="str">
        <f aca="true">IF(C62="","",IF(F61="",TODAY(),F62))</f>
        <v/>
      </c>
      <c r="G62" s="19"/>
      <c r="H62" s="17"/>
      <c r="I62" s="17"/>
      <c r="J62" s="20" t="str">
        <f aca="true">IF(G62="","",IF(OR(H62="Concluído",H62="Cancelado"),"",G62-TODAY()))</f>
        <v/>
      </c>
      <c r="K62" s="18"/>
    </row>
    <row r="63" customFormat="false" ht="24" hidden="false" customHeight="true" outlineLevel="0" collapsed="false">
      <c r="A63" s="17" t="str">
        <f aca="false">IF(C63="","",MAX($A$5:A62)+1)</f>
        <v/>
      </c>
      <c r="B63" s="18"/>
      <c r="C63" s="18"/>
      <c r="D63" s="18"/>
      <c r="E63" s="18"/>
      <c r="F63" s="19" t="str">
        <f aca="true">IF(C63="","",IF(F62="",TODAY(),F63))</f>
        <v/>
      </c>
      <c r="G63" s="19"/>
      <c r="H63" s="17"/>
      <c r="I63" s="17"/>
      <c r="J63" s="20" t="str">
        <f aca="true">IF(G63="","",IF(OR(H63="Concluído",H63="Cancelado"),"",G63-TODAY()))</f>
        <v/>
      </c>
      <c r="K63" s="18"/>
    </row>
    <row r="64" customFormat="false" ht="24" hidden="false" customHeight="true" outlineLevel="0" collapsed="false">
      <c r="A64" s="17" t="str">
        <f aca="false">IF(C64="","",MAX($A$5:A63)+1)</f>
        <v/>
      </c>
      <c r="B64" s="18"/>
      <c r="C64" s="18"/>
      <c r="D64" s="18"/>
      <c r="E64" s="18"/>
      <c r="F64" s="19" t="str">
        <f aca="true">IF(C64="","",IF(F63="",TODAY(),F64))</f>
        <v/>
      </c>
      <c r="G64" s="19"/>
      <c r="H64" s="17"/>
      <c r="I64" s="17"/>
      <c r="J64" s="20" t="str">
        <f aca="true">IF(G64="","",IF(OR(H64="Concluído",H64="Cancelado"),"",G64-TODAY()))</f>
        <v/>
      </c>
      <c r="K64" s="18"/>
    </row>
    <row r="65" customFormat="false" ht="24" hidden="false" customHeight="true" outlineLevel="0" collapsed="false">
      <c r="A65" s="17" t="str">
        <f aca="false">IF(C65="","",MAX($A$5:A64)+1)</f>
        <v/>
      </c>
      <c r="B65" s="18"/>
      <c r="C65" s="18"/>
      <c r="D65" s="18"/>
      <c r="E65" s="18"/>
      <c r="F65" s="19" t="str">
        <f aca="true">IF(C65="","",IF(F64="",TODAY(),F65))</f>
        <v/>
      </c>
      <c r="G65" s="19"/>
      <c r="H65" s="17"/>
      <c r="I65" s="17"/>
      <c r="J65" s="20" t="str">
        <f aca="true">IF(G65="","",IF(OR(H65="Concluído",H65="Cancelado"),"",G65-TODAY()))</f>
        <v/>
      </c>
      <c r="K65" s="18"/>
    </row>
    <row r="66" customFormat="false" ht="24" hidden="false" customHeight="true" outlineLevel="0" collapsed="false">
      <c r="A66" s="17" t="str">
        <f aca="false">IF(C66="","",MAX($A$5:A65)+1)</f>
        <v/>
      </c>
      <c r="B66" s="18"/>
      <c r="C66" s="18"/>
      <c r="D66" s="18"/>
      <c r="E66" s="18"/>
      <c r="F66" s="19" t="str">
        <f aca="true">IF(C66="","",IF(F65="",TODAY(),F66))</f>
        <v/>
      </c>
      <c r="G66" s="19"/>
      <c r="H66" s="17"/>
      <c r="I66" s="17"/>
      <c r="J66" s="20" t="str">
        <f aca="true">IF(G66="","",IF(OR(H66="Concluído",H66="Cancelado"),"",G66-TODAY()))</f>
        <v/>
      </c>
      <c r="K66" s="18"/>
    </row>
    <row r="67" customFormat="false" ht="24" hidden="false" customHeight="true" outlineLevel="0" collapsed="false">
      <c r="A67" s="17" t="str">
        <f aca="false">IF(C67="","",MAX($A$5:A66)+1)</f>
        <v/>
      </c>
      <c r="B67" s="18"/>
      <c r="C67" s="18"/>
      <c r="D67" s="18"/>
      <c r="E67" s="18"/>
      <c r="F67" s="19" t="str">
        <f aca="true">IF(C67="","",IF(F66="",TODAY(),F67))</f>
        <v/>
      </c>
      <c r="G67" s="19"/>
      <c r="H67" s="17"/>
      <c r="I67" s="17"/>
      <c r="J67" s="20" t="str">
        <f aca="true">IF(G67="","",IF(OR(H67="Concluído",H67="Cancelado"),"",G67-TODAY()))</f>
        <v/>
      </c>
      <c r="K67" s="18"/>
    </row>
    <row r="68" customFormat="false" ht="24" hidden="false" customHeight="true" outlineLevel="0" collapsed="false">
      <c r="A68" s="17" t="str">
        <f aca="false">IF(C68="","",MAX($A$5:A67)+1)</f>
        <v/>
      </c>
      <c r="B68" s="18"/>
      <c r="C68" s="18"/>
      <c r="D68" s="18"/>
      <c r="E68" s="18"/>
      <c r="F68" s="19" t="str">
        <f aca="true">IF(C68="","",IF(F67="",TODAY(),F68))</f>
        <v/>
      </c>
      <c r="G68" s="19"/>
      <c r="H68" s="17"/>
      <c r="I68" s="17"/>
      <c r="J68" s="20" t="str">
        <f aca="true">IF(G68="","",IF(OR(H68="Concluído",H68="Cancelado"),"",G68-TODAY()))</f>
        <v/>
      </c>
      <c r="K68" s="18"/>
    </row>
    <row r="69" customFormat="false" ht="24" hidden="false" customHeight="true" outlineLevel="0" collapsed="false">
      <c r="A69" s="17" t="str">
        <f aca="false">IF(C69="","",MAX($A$5:A68)+1)</f>
        <v/>
      </c>
      <c r="B69" s="18"/>
      <c r="C69" s="18"/>
      <c r="D69" s="18"/>
      <c r="E69" s="18"/>
      <c r="F69" s="19" t="str">
        <f aca="true">IF(C69="","",IF(F68="",TODAY(),F69))</f>
        <v/>
      </c>
      <c r="G69" s="19"/>
      <c r="H69" s="17"/>
      <c r="I69" s="17"/>
      <c r="J69" s="20" t="str">
        <f aca="true">IF(G69="","",IF(OR(H69="Concluído",H69="Cancelado"),"",G69-TODAY()))</f>
        <v/>
      </c>
      <c r="K69" s="18"/>
    </row>
    <row r="70" customFormat="false" ht="24" hidden="false" customHeight="true" outlineLevel="0" collapsed="false">
      <c r="A70" s="17" t="str">
        <f aca="false">IF(C70="","",MAX($A$5:A69)+1)</f>
        <v/>
      </c>
      <c r="B70" s="18"/>
      <c r="C70" s="18"/>
      <c r="D70" s="18"/>
      <c r="E70" s="18"/>
      <c r="F70" s="19" t="str">
        <f aca="true">IF(C70="","",IF(F69="",TODAY(),F70))</f>
        <v/>
      </c>
      <c r="G70" s="19"/>
      <c r="H70" s="17"/>
      <c r="I70" s="17"/>
      <c r="J70" s="20" t="str">
        <f aca="true">IF(G70="","",IF(OR(H70="Concluído",H70="Cancelado"),"",G70-TODAY()))</f>
        <v/>
      </c>
      <c r="K70" s="18"/>
    </row>
    <row r="71" customFormat="false" ht="24" hidden="false" customHeight="true" outlineLevel="0" collapsed="false">
      <c r="A71" s="17" t="str">
        <f aca="false">IF(C71="","",MAX($A$5:A70)+1)</f>
        <v/>
      </c>
      <c r="B71" s="18"/>
      <c r="C71" s="18"/>
      <c r="D71" s="18"/>
      <c r="E71" s="18"/>
      <c r="F71" s="19" t="str">
        <f aca="true">IF(C71="","",IF(F70="",TODAY(),F71))</f>
        <v/>
      </c>
      <c r="G71" s="19"/>
      <c r="H71" s="17"/>
      <c r="I71" s="17"/>
      <c r="J71" s="20" t="str">
        <f aca="true">IF(G71="","",IF(OR(H71="Concluído",H71="Cancelado"),"",G71-TODAY()))</f>
        <v/>
      </c>
      <c r="K71" s="18"/>
    </row>
    <row r="72" customFormat="false" ht="24" hidden="false" customHeight="true" outlineLevel="0" collapsed="false">
      <c r="A72" s="17" t="str">
        <f aca="false">IF(C72="","",MAX($A$5:A71)+1)</f>
        <v/>
      </c>
      <c r="B72" s="18"/>
      <c r="C72" s="18"/>
      <c r="D72" s="18"/>
      <c r="E72" s="18"/>
      <c r="F72" s="19" t="str">
        <f aca="true">IF(C72="","",IF(F71="",TODAY(),F72))</f>
        <v/>
      </c>
      <c r="G72" s="19"/>
      <c r="H72" s="17"/>
      <c r="I72" s="17"/>
      <c r="J72" s="20" t="str">
        <f aca="true">IF(G72="","",IF(OR(H72="Concluído",H72="Cancelado"),"",G72-TODAY()))</f>
        <v/>
      </c>
      <c r="K72" s="18"/>
    </row>
    <row r="73" customFormat="false" ht="24" hidden="false" customHeight="true" outlineLevel="0" collapsed="false">
      <c r="A73" s="17" t="str">
        <f aca="false">IF(C73="","",MAX($A$5:A72)+1)</f>
        <v/>
      </c>
      <c r="B73" s="18"/>
      <c r="C73" s="18"/>
      <c r="D73" s="18"/>
      <c r="E73" s="18"/>
      <c r="F73" s="19" t="str">
        <f aca="true">IF(C73="","",IF(F72="",TODAY(),F73))</f>
        <v/>
      </c>
      <c r="G73" s="19"/>
      <c r="H73" s="17"/>
      <c r="I73" s="17"/>
      <c r="J73" s="20" t="str">
        <f aca="true">IF(G73="","",IF(OR(H73="Concluído",H73="Cancelado"),"",G73-TODAY()))</f>
        <v/>
      </c>
      <c r="K73" s="18"/>
    </row>
    <row r="74" customFormat="false" ht="24" hidden="false" customHeight="true" outlineLevel="0" collapsed="false">
      <c r="A74" s="17" t="str">
        <f aca="false">IF(C74="","",MAX($A$5:A73)+1)</f>
        <v/>
      </c>
      <c r="B74" s="18"/>
      <c r="C74" s="18"/>
      <c r="D74" s="18"/>
      <c r="E74" s="18"/>
      <c r="F74" s="19" t="str">
        <f aca="true">IF(C74="","",IF(F73="",TODAY(),F74))</f>
        <v/>
      </c>
      <c r="G74" s="19"/>
      <c r="H74" s="17"/>
      <c r="I74" s="17"/>
      <c r="J74" s="20" t="str">
        <f aca="true">IF(G74="","",IF(OR(H74="Concluído",H74="Cancelado"),"",G74-TODAY()))</f>
        <v/>
      </c>
      <c r="K74" s="18"/>
    </row>
    <row r="75" customFormat="false" ht="24" hidden="false" customHeight="true" outlineLevel="0" collapsed="false">
      <c r="A75" s="17" t="str">
        <f aca="false">IF(C75="","",MAX($A$5:A74)+1)</f>
        <v/>
      </c>
      <c r="B75" s="18"/>
      <c r="C75" s="18"/>
      <c r="D75" s="18"/>
      <c r="E75" s="18"/>
      <c r="F75" s="19" t="str">
        <f aca="true">IF(C75="","",IF(F74="",TODAY(),F75))</f>
        <v/>
      </c>
      <c r="G75" s="19"/>
      <c r="H75" s="17"/>
      <c r="I75" s="17"/>
      <c r="J75" s="20" t="str">
        <f aca="true">IF(G75="","",IF(OR(H75="Concluído",H75="Cancelado"),"",G75-TODAY()))</f>
        <v/>
      </c>
      <c r="K75" s="18"/>
    </row>
    <row r="76" customFormat="false" ht="24" hidden="false" customHeight="true" outlineLevel="0" collapsed="false">
      <c r="A76" s="17" t="str">
        <f aca="false">IF(C76="","",MAX($A$5:A75)+1)</f>
        <v/>
      </c>
      <c r="B76" s="18"/>
      <c r="C76" s="18"/>
      <c r="D76" s="18"/>
      <c r="E76" s="18"/>
      <c r="F76" s="19" t="str">
        <f aca="true">IF(C76="","",IF(F75="",TODAY(),F76))</f>
        <v/>
      </c>
      <c r="G76" s="19"/>
      <c r="H76" s="17"/>
      <c r="I76" s="17"/>
      <c r="J76" s="20" t="str">
        <f aca="true">IF(G76="","",IF(OR(H76="Concluído",H76="Cancelado"),"",G76-TODAY()))</f>
        <v/>
      </c>
      <c r="K76" s="18"/>
    </row>
    <row r="77" customFormat="false" ht="24" hidden="false" customHeight="true" outlineLevel="0" collapsed="false">
      <c r="A77" s="17" t="str">
        <f aca="false">IF(C77="","",MAX($A$5:A76)+1)</f>
        <v/>
      </c>
      <c r="B77" s="18"/>
      <c r="C77" s="18"/>
      <c r="D77" s="18"/>
      <c r="E77" s="18"/>
      <c r="F77" s="19" t="str">
        <f aca="true">IF(C77="","",IF(F76="",TODAY(),F77))</f>
        <v/>
      </c>
      <c r="G77" s="19"/>
      <c r="H77" s="17"/>
      <c r="I77" s="17"/>
      <c r="J77" s="20" t="str">
        <f aca="true">IF(G77="","",IF(OR(H77="Concluído",H77="Cancelado"),"",G77-TODAY()))</f>
        <v/>
      </c>
      <c r="K77" s="18"/>
    </row>
    <row r="78" customFormat="false" ht="24" hidden="false" customHeight="true" outlineLevel="0" collapsed="false">
      <c r="A78" s="17" t="str">
        <f aca="false">IF(C78="","",MAX($A$5:A77)+1)</f>
        <v/>
      </c>
      <c r="B78" s="18"/>
      <c r="C78" s="18"/>
      <c r="D78" s="18"/>
      <c r="E78" s="18"/>
      <c r="F78" s="19" t="str">
        <f aca="true">IF(C78="","",IF(F77="",TODAY(),F78))</f>
        <v/>
      </c>
      <c r="G78" s="19"/>
      <c r="H78" s="17"/>
      <c r="I78" s="17"/>
      <c r="J78" s="20" t="str">
        <f aca="true">IF(G78="","",IF(OR(H78="Concluído",H78="Cancelado"),"",G78-TODAY()))</f>
        <v/>
      </c>
      <c r="K78" s="18"/>
    </row>
    <row r="79" customFormat="false" ht="24" hidden="false" customHeight="true" outlineLevel="0" collapsed="false">
      <c r="A79" s="17" t="str">
        <f aca="false">IF(C79="","",MAX($A$5:A78)+1)</f>
        <v/>
      </c>
      <c r="B79" s="18"/>
      <c r="C79" s="18"/>
      <c r="D79" s="18"/>
      <c r="E79" s="18"/>
      <c r="F79" s="19" t="str">
        <f aca="true">IF(C79="","",IF(F78="",TODAY(),F79))</f>
        <v/>
      </c>
      <c r="G79" s="19"/>
      <c r="H79" s="17"/>
      <c r="I79" s="17"/>
      <c r="J79" s="20" t="str">
        <f aca="true">IF(G79="","",IF(OR(H79="Concluído",H79="Cancelado"),"",G79-TODAY()))</f>
        <v/>
      </c>
      <c r="K79" s="18"/>
    </row>
    <row r="80" customFormat="false" ht="24" hidden="false" customHeight="true" outlineLevel="0" collapsed="false">
      <c r="A80" s="17" t="str">
        <f aca="false">IF(C80="","",MAX($A$5:A79)+1)</f>
        <v/>
      </c>
      <c r="B80" s="18"/>
      <c r="C80" s="18"/>
      <c r="D80" s="18"/>
      <c r="E80" s="18"/>
      <c r="F80" s="19" t="str">
        <f aca="true">IF(C80="","",IF(F79="",TODAY(),F80))</f>
        <v/>
      </c>
      <c r="G80" s="19"/>
      <c r="H80" s="17"/>
      <c r="I80" s="17"/>
      <c r="J80" s="20" t="str">
        <f aca="true">IF(G80="","",IF(OR(H80="Concluído",H80="Cancelado"),"",G80-TODAY()))</f>
        <v/>
      </c>
      <c r="K80" s="18"/>
    </row>
    <row r="81" customFormat="false" ht="24" hidden="false" customHeight="true" outlineLevel="0" collapsed="false">
      <c r="A81" s="17" t="str">
        <f aca="false">IF(C81="","",MAX($A$5:A80)+1)</f>
        <v/>
      </c>
      <c r="B81" s="18"/>
      <c r="C81" s="18"/>
      <c r="D81" s="18"/>
      <c r="E81" s="18"/>
      <c r="F81" s="19" t="str">
        <f aca="true">IF(C81="","",IF(F80="",TODAY(),F81))</f>
        <v/>
      </c>
      <c r="G81" s="19"/>
      <c r="H81" s="17"/>
      <c r="I81" s="17"/>
      <c r="J81" s="20" t="str">
        <f aca="true">IF(G81="","",IF(OR(H81="Concluído",H81="Cancelado"),"",G81-TODAY()))</f>
        <v/>
      </c>
      <c r="K81" s="18"/>
    </row>
    <row r="82" customFormat="false" ht="24" hidden="false" customHeight="true" outlineLevel="0" collapsed="false">
      <c r="A82" s="17" t="str">
        <f aca="false">IF(C82="","",MAX($A$5:A81)+1)</f>
        <v/>
      </c>
      <c r="B82" s="18"/>
      <c r="C82" s="18"/>
      <c r="D82" s="18"/>
      <c r="E82" s="18"/>
      <c r="F82" s="19" t="str">
        <f aca="true">IF(C82="","",IF(F81="",TODAY(),F82))</f>
        <v/>
      </c>
      <c r="G82" s="19"/>
      <c r="H82" s="17"/>
      <c r="I82" s="17"/>
      <c r="J82" s="20" t="str">
        <f aca="true">IF(G82="","",IF(OR(H82="Concluído",H82="Cancelado"),"",G82-TODAY()))</f>
        <v/>
      </c>
      <c r="K82" s="18"/>
    </row>
    <row r="83" customFormat="false" ht="24" hidden="false" customHeight="true" outlineLevel="0" collapsed="false">
      <c r="A83" s="17" t="str">
        <f aca="false">IF(C83="","",MAX($A$5:A82)+1)</f>
        <v/>
      </c>
      <c r="B83" s="18"/>
      <c r="C83" s="18"/>
      <c r="D83" s="18"/>
      <c r="E83" s="18"/>
      <c r="F83" s="19" t="str">
        <f aca="true">IF(C83="","",IF(F82="",TODAY(),F83))</f>
        <v/>
      </c>
      <c r="G83" s="19"/>
      <c r="H83" s="17"/>
      <c r="I83" s="17"/>
      <c r="J83" s="20" t="str">
        <f aca="true">IF(G83="","",IF(OR(H83="Concluído",H83="Cancelado"),"",G83-TODAY()))</f>
        <v/>
      </c>
      <c r="K83" s="18"/>
    </row>
    <row r="84" customFormat="false" ht="24" hidden="false" customHeight="true" outlineLevel="0" collapsed="false">
      <c r="A84" s="17" t="str">
        <f aca="false">IF(C84="","",MAX($A$5:A83)+1)</f>
        <v/>
      </c>
      <c r="B84" s="18"/>
      <c r="C84" s="18"/>
      <c r="D84" s="18"/>
      <c r="E84" s="18"/>
      <c r="F84" s="19" t="str">
        <f aca="true">IF(C84="","",IF(F83="",TODAY(),F84))</f>
        <v/>
      </c>
      <c r="G84" s="19"/>
      <c r="H84" s="17"/>
      <c r="I84" s="17"/>
      <c r="J84" s="20" t="str">
        <f aca="true">IF(G84="","",IF(OR(H84="Concluído",H84="Cancelado"),"",G84-TODAY()))</f>
        <v/>
      </c>
      <c r="K84" s="18"/>
    </row>
    <row r="85" customFormat="false" ht="24" hidden="false" customHeight="true" outlineLevel="0" collapsed="false">
      <c r="A85" s="17" t="str">
        <f aca="false">IF(C85="","",MAX($A$5:A84)+1)</f>
        <v/>
      </c>
      <c r="B85" s="18"/>
      <c r="C85" s="18"/>
      <c r="D85" s="18"/>
      <c r="E85" s="18"/>
      <c r="F85" s="19" t="str">
        <f aca="true">IF(C85="","",IF(F84="",TODAY(),F85))</f>
        <v/>
      </c>
      <c r="G85" s="19"/>
      <c r="H85" s="17"/>
      <c r="I85" s="17"/>
      <c r="J85" s="20" t="str">
        <f aca="true">IF(G85="","",IF(OR(H85="Concluído",H85="Cancelado"),"",G85-TODAY()))</f>
        <v/>
      </c>
      <c r="K85" s="18"/>
    </row>
    <row r="86" customFormat="false" ht="24" hidden="false" customHeight="true" outlineLevel="0" collapsed="false">
      <c r="A86" s="17" t="str">
        <f aca="false">IF(C86="","",MAX($A$5:A85)+1)</f>
        <v/>
      </c>
      <c r="B86" s="18"/>
      <c r="C86" s="18"/>
      <c r="D86" s="18"/>
      <c r="E86" s="18"/>
      <c r="F86" s="19" t="str">
        <f aca="true">IF(C86="","",IF(F85="",TODAY(),F86))</f>
        <v/>
      </c>
      <c r="G86" s="19"/>
      <c r="H86" s="17"/>
      <c r="I86" s="17"/>
      <c r="J86" s="20" t="str">
        <f aca="true">IF(G86="","",IF(OR(H86="Concluído",H86="Cancelado"),"",G86-TODAY()))</f>
        <v/>
      </c>
      <c r="K86" s="18"/>
    </row>
    <row r="87" customFormat="false" ht="24" hidden="false" customHeight="true" outlineLevel="0" collapsed="false">
      <c r="A87" s="17" t="str">
        <f aca="false">IF(C87="","",MAX($A$5:A86)+1)</f>
        <v/>
      </c>
      <c r="B87" s="18"/>
      <c r="C87" s="18"/>
      <c r="D87" s="18"/>
      <c r="E87" s="18"/>
      <c r="F87" s="19" t="str">
        <f aca="true">IF(C87="","",IF(F86="",TODAY(),F87))</f>
        <v/>
      </c>
      <c r="G87" s="19"/>
      <c r="H87" s="17"/>
      <c r="I87" s="17"/>
      <c r="J87" s="20" t="str">
        <f aca="true">IF(G87="","",IF(OR(H87="Concluído",H87="Cancelado"),"",G87-TODAY()))</f>
        <v/>
      </c>
      <c r="K87" s="18"/>
    </row>
    <row r="88" customFormat="false" ht="24" hidden="false" customHeight="true" outlineLevel="0" collapsed="false">
      <c r="A88" s="17" t="str">
        <f aca="false">IF(C88="","",MAX($A$5:A87)+1)</f>
        <v/>
      </c>
      <c r="B88" s="18"/>
      <c r="C88" s="18"/>
      <c r="D88" s="18"/>
      <c r="E88" s="18"/>
      <c r="F88" s="19" t="str">
        <f aca="true">IF(C88="","",IF(F87="",TODAY(),F88))</f>
        <v/>
      </c>
      <c r="G88" s="19"/>
      <c r="H88" s="17"/>
      <c r="I88" s="17"/>
      <c r="J88" s="20" t="str">
        <f aca="true">IF(G88="","",IF(OR(H88="Concluído",H88="Cancelado"),"",G88-TODAY()))</f>
        <v/>
      </c>
      <c r="K88" s="18"/>
    </row>
    <row r="89" customFormat="false" ht="24" hidden="false" customHeight="true" outlineLevel="0" collapsed="false">
      <c r="A89" s="17" t="str">
        <f aca="false">IF(C89="","",MAX($A$5:A88)+1)</f>
        <v/>
      </c>
      <c r="B89" s="18"/>
      <c r="C89" s="18"/>
      <c r="D89" s="18"/>
      <c r="E89" s="18"/>
      <c r="F89" s="19" t="str">
        <f aca="true">IF(C89="","",IF(F88="",TODAY(),F89))</f>
        <v/>
      </c>
      <c r="G89" s="19"/>
      <c r="H89" s="17"/>
      <c r="I89" s="17"/>
      <c r="J89" s="20" t="str">
        <f aca="true">IF(G89="","",IF(OR(H89="Concluído",H89="Cancelado"),"",G89-TODAY()))</f>
        <v/>
      </c>
      <c r="K89" s="18"/>
    </row>
    <row r="90" customFormat="false" ht="24" hidden="false" customHeight="true" outlineLevel="0" collapsed="false">
      <c r="A90" s="17" t="str">
        <f aca="false">IF(C90="","",MAX($A$5:A89)+1)</f>
        <v/>
      </c>
      <c r="B90" s="18"/>
      <c r="C90" s="18"/>
      <c r="D90" s="18"/>
      <c r="E90" s="18"/>
      <c r="F90" s="19" t="str">
        <f aca="true">IF(C90="","",IF(F89="",TODAY(),F90))</f>
        <v/>
      </c>
      <c r="G90" s="19"/>
      <c r="H90" s="17"/>
      <c r="I90" s="17"/>
      <c r="J90" s="20" t="str">
        <f aca="true">IF(G90="","",IF(OR(H90="Concluído",H90="Cancelado"),"",G90-TODAY()))</f>
        <v/>
      </c>
      <c r="K90" s="18"/>
    </row>
    <row r="91" customFormat="false" ht="24" hidden="false" customHeight="true" outlineLevel="0" collapsed="false">
      <c r="A91" s="17" t="str">
        <f aca="false">IF(C91="","",MAX($A$5:A90)+1)</f>
        <v/>
      </c>
      <c r="B91" s="18"/>
      <c r="C91" s="18"/>
      <c r="D91" s="18"/>
      <c r="E91" s="18"/>
      <c r="F91" s="19" t="str">
        <f aca="true">IF(C91="","",IF(F90="",TODAY(),F91))</f>
        <v/>
      </c>
      <c r="G91" s="19"/>
      <c r="H91" s="17"/>
      <c r="I91" s="17"/>
      <c r="J91" s="20" t="str">
        <f aca="true">IF(G91="","",IF(OR(H91="Concluído",H91="Cancelado"),"",G91-TODAY()))</f>
        <v/>
      </c>
      <c r="K91" s="18"/>
    </row>
    <row r="92" customFormat="false" ht="24" hidden="false" customHeight="true" outlineLevel="0" collapsed="false">
      <c r="A92" s="17" t="str">
        <f aca="false">IF(C92="","",MAX($A$5:A91)+1)</f>
        <v/>
      </c>
      <c r="B92" s="18"/>
      <c r="C92" s="18"/>
      <c r="D92" s="18"/>
      <c r="E92" s="18"/>
      <c r="F92" s="19" t="str">
        <f aca="true">IF(C92="","",IF(F91="",TODAY(),F92))</f>
        <v/>
      </c>
      <c r="G92" s="19"/>
      <c r="H92" s="17"/>
      <c r="I92" s="17"/>
      <c r="J92" s="20" t="str">
        <f aca="true">IF(G92="","",IF(OR(H92="Concluído",H92="Cancelado"),"",G92-TODAY()))</f>
        <v/>
      </c>
      <c r="K92" s="18"/>
    </row>
    <row r="93" customFormat="false" ht="24" hidden="false" customHeight="true" outlineLevel="0" collapsed="false">
      <c r="A93" s="17" t="str">
        <f aca="false">IF(C93="","",MAX($A$5:A92)+1)</f>
        <v/>
      </c>
      <c r="B93" s="18"/>
      <c r="C93" s="18"/>
      <c r="D93" s="18"/>
      <c r="E93" s="18"/>
      <c r="F93" s="19" t="str">
        <f aca="true">IF(C93="","",IF(F92="",TODAY(),F93))</f>
        <v/>
      </c>
      <c r="G93" s="19"/>
      <c r="H93" s="17"/>
      <c r="I93" s="17"/>
      <c r="J93" s="20" t="str">
        <f aca="true">IF(G93="","",IF(OR(H93="Concluído",H93="Cancelado"),"",G93-TODAY()))</f>
        <v/>
      </c>
      <c r="K93" s="18"/>
    </row>
    <row r="94" customFormat="false" ht="24" hidden="false" customHeight="true" outlineLevel="0" collapsed="false">
      <c r="A94" s="17" t="str">
        <f aca="false">IF(C94="","",MAX($A$5:A93)+1)</f>
        <v/>
      </c>
      <c r="B94" s="18"/>
      <c r="C94" s="18"/>
      <c r="D94" s="18"/>
      <c r="E94" s="18"/>
      <c r="F94" s="19" t="str">
        <f aca="true">IF(C94="","",IF(F93="",TODAY(),F94))</f>
        <v/>
      </c>
      <c r="G94" s="19"/>
      <c r="H94" s="17"/>
      <c r="I94" s="17"/>
      <c r="J94" s="20" t="str">
        <f aca="true">IF(G94="","",IF(OR(H94="Concluído",H94="Cancelado"),"",G94-TODAY()))</f>
        <v/>
      </c>
      <c r="K94" s="18"/>
    </row>
    <row r="95" customFormat="false" ht="24" hidden="false" customHeight="true" outlineLevel="0" collapsed="false">
      <c r="A95" s="17" t="str">
        <f aca="false">IF(C95="","",MAX($A$5:A94)+1)</f>
        <v/>
      </c>
      <c r="B95" s="18"/>
      <c r="C95" s="18"/>
      <c r="D95" s="18"/>
      <c r="E95" s="18"/>
      <c r="F95" s="19" t="str">
        <f aca="true">IF(C95="","",IF(F94="",TODAY(),F95))</f>
        <v/>
      </c>
      <c r="G95" s="19"/>
      <c r="H95" s="17"/>
      <c r="I95" s="17"/>
      <c r="J95" s="20" t="str">
        <f aca="true">IF(G95="","",IF(OR(H95="Concluído",H95="Cancelado"),"",G95-TODAY()))</f>
        <v/>
      </c>
      <c r="K95" s="18"/>
    </row>
    <row r="96" customFormat="false" ht="24" hidden="false" customHeight="true" outlineLevel="0" collapsed="false">
      <c r="A96" s="17" t="str">
        <f aca="false">IF(C96="","",MAX($A$5:A95)+1)</f>
        <v/>
      </c>
      <c r="B96" s="18"/>
      <c r="C96" s="18"/>
      <c r="D96" s="18"/>
      <c r="E96" s="18"/>
      <c r="F96" s="19" t="str">
        <f aca="true">IF(C96="","",IF(F95="",TODAY(),F96))</f>
        <v/>
      </c>
      <c r="G96" s="19"/>
      <c r="H96" s="17"/>
      <c r="I96" s="17"/>
      <c r="J96" s="20" t="str">
        <f aca="true">IF(G96="","",IF(OR(H96="Concluído",H96="Cancelado"),"",G96-TODAY()))</f>
        <v/>
      </c>
      <c r="K96" s="18"/>
    </row>
    <row r="97" customFormat="false" ht="24" hidden="false" customHeight="true" outlineLevel="0" collapsed="false">
      <c r="A97" s="17" t="str">
        <f aca="false">IF(C97="","",MAX($A$5:A96)+1)</f>
        <v/>
      </c>
      <c r="B97" s="18"/>
      <c r="C97" s="18"/>
      <c r="D97" s="18"/>
      <c r="E97" s="18"/>
      <c r="F97" s="19" t="str">
        <f aca="true">IF(C97="","",IF(F96="",TODAY(),F97))</f>
        <v/>
      </c>
      <c r="G97" s="19"/>
      <c r="H97" s="17"/>
      <c r="I97" s="17"/>
      <c r="J97" s="20" t="str">
        <f aca="true">IF(G97="","",IF(OR(H97="Concluído",H97="Cancelado"),"",G97-TODAY()))</f>
        <v/>
      </c>
      <c r="K97" s="18"/>
    </row>
    <row r="98" customFormat="false" ht="24" hidden="false" customHeight="true" outlineLevel="0" collapsed="false">
      <c r="A98" s="17" t="str">
        <f aca="false">IF(C98="","",MAX($A$5:A97)+1)</f>
        <v/>
      </c>
      <c r="B98" s="18"/>
      <c r="C98" s="18"/>
      <c r="D98" s="18"/>
      <c r="E98" s="18"/>
      <c r="F98" s="19" t="str">
        <f aca="true">IF(C98="","",IF(F97="",TODAY(),F98))</f>
        <v/>
      </c>
      <c r="G98" s="19"/>
      <c r="H98" s="17"/>
      <c r="I98" s="17"/>
      <c r="J98" s="20" t="str">
        <f aca="true">IF(G98="","",IF(OR(H98="Concluído",H98="Cancelado"),"",G98-TODAY()))</f>
        <v/>
      </c>
      <c r="K98" s="18"/>
    </row>
    <row r="99" customFormat="false" ht="24" hidden="false" customHeight="true" outlineLevel="0" collapsed="false">
      <c r="A99" s="17" t="str">
        <f aca="false">IF(C99="","",MAX($A$5:A98)+1)</f>
        <v/>
      </c>
      <c r="B99" s="18"/>
      <c r="C99" s="18"/>
      <c r="D99" s="18"/>
      <c r="E99" s="18"/>
      <c r="F99" s="19" t="str">
        <f aca="true">IF(C99="","",IF(F98="",TODAY(),F99))</f>
        <v/>
      </c>
      <c r="G99" s="19"/>
      <c r="H99" s="17"/>
      <c r="I99" s="17"/>
      <c r="J99" s="20" t="str">
        <f aca="true">IF(G99="","",IF(OR(H99="Concluído",H99="Cancelado"),"",G99-TODAY()))</f>
        <v/>
      </c>
      <c r="K99" s="18"/>
    </row>
    <row r="100" customFormat="false" ht="24" hidden="false" customHeight="true" outlineLevel="0" collapsed="false">
      <c r="A100" s="17" t="str">
        <f aca="false">IF(C100="","",MAX($A$5:A99)+1)</f>
        <v/>
      </c>
      <c r="B100" s="18"/>
      <c r="C100" s="18"/>
      <c r="D100" s="18"/>
      <c r="E100" s="18"/>
      <c r="F100" s="19" t="str">
        <f aca="true">IF(C100="","",IF(F99="",TODAY(),F100))</f>
        <v/>
      </c>
      <c r="G100" s="19"/>
      <c r="H100" s="17"/>
      <c r="I100" s="17"/>
      <c r="J100" s="20" t="str">
        <f aca="true">IF(G100="","",IF(OR(H100="Concluído",H100="Cancelado"),"",G100-TODAY()))</f>
        <v/>
      </c>
      <c r="K100" s="18"/>
    </row>
    <row r="101" customFormat="false" ht="24" hidden="false" customHeight="true" outlineLevel="0" collapsed="false">
      <c r="A101" s="17" t="str">
        <f aca="false">IF(C101="","",MAX($A$5:A100)+1)</f>
        <v/>
      </c>
      <c r="B101" s="18"/>
      <c r="C101" s="18"/>
      <c r="D101" s="18"/>
      <c r="E101" s="18"/>
      <c r="F101" s="19" t="str">
        <f aca="true">IF(C101="","",IF(F100="",TODAY(),F101))</f>
        <v/>
      </c>
      <c r="G101" s="19"/>
      <c r="H101" s="17"/>
      <c r="I101" s="17"/>
      <c r="J101" s="20" t="str">
        <f aca="true">IF(G101="","",IF(OR(H101="Concluído",H101="Cancelado"),"",G101-TODAY()))</f>
        <v/>
      </c>
      <c r="K101" s="18"/>
    </row>
    <row r="102" customFormat="false" ht="24" hidden="false" customHeight="true" outlineLevel="0" collapsed="false">
      <c r="A102" s="17" t="str">
        <f aca="false">IF(C102="","",MAX($A$5:A101)+1)</f>
        <v/>
      </c>
      <c r="B102" s="18"/>
      <c r="C102" s="18"/>
      <c r="D102" s="18"/>
      <c r="E102" s="18"/>
      <c r="F102" s="19" t="str">
        <f aca="true">IF(C102="","",IF(F101="",TODAY(),F102))</f>
        <v/>
      </c>
      <c r="G102" s="19"/>
      <c r="H102" s="17"/>
      <c r="I102" s="17"/>
      <c r="J102" s="20" t="str">
        <f aca="true">IF(G102="","",IF(OR(H102="Concluído",H102="Cancelado"),"",G102-TODAY()))</f>
        <v/>
      </c>
      <c r="K102" s="18"/>
    </row>
    <row r="103" customFormat="false" ht="24" hidden="false" customHeight="true" outlineLevel="0" collapsed="false">
      <c r="A103" s="17" t="str">
        <f aca="false">IF(C103="","",MAX($A$5:A102)+1)</f>
        <v/>
      </c>
      <c r="B103" s="18"/>
      <c r="C103" s="18"/>
      <c r="D103" s="18"/>
      <c r="E103" s="18"/>
      <c r="F103" s="19" t="str">
        <f aca="true">IF(C103="","",IF(F102="",TODAY(),F103))</f>
        <v/>
      </c>
      <c r="G103" s="19"/>
      <c r="H103" s="17"/>
      <c r="I103" s="17"/>
      <c r="J103" s="20" t="str">
        <f aca="true">IF(G103="","",IF(OR(H103="Concluído",H103="Cancelado"),"",G103-TODAY()))</f>
        <v/>
      </c>
      <c r="K103" s="18"/>
    </row>
    <row r="104" customFormat="false" ht="24" hidden="false" customHeight="true" outlineLevel="0" collapsed="false">
      <c r="A104" s="17" t="str">
        <f aca="false">IF(C104="","",MAX($A$5:A103)+1)</f>
        <v/>
      </c>
      <c r="B104" s="18"/>
      <c r="C104" s="18"/>
      <c r="D104" s="18"/>
      <c r="E104" s="18"/>
      <c r="F104" s="19" t="str">
        <f aca="true">IF(C104="","",IF(F103="",TODAY(),F104))</f>
        <v/>
      </c>
      <c r="G104" s="19"/>
      <c r="H104" s="17"/>
      <c r="I104" s="17"/>
      <c r="J104" s="20" t="str">
        <f aca="true">IF(G104="","",IF(OR(H104="Concluído",H104="Cancelado"),"",G104-TODAY()))</f>
        <v/>
      </c>
      <c r="K104" s="18"/>
    </row>
    <row r="105" customFormat="false" ht="24" hidden="false" customHeight="true" outlineLevel="0" collapsed="false">
      <c r="A105" s="17" t="str">
        <f aca="false">IF(C105="","",MAX($A$5:A104)+1)</f>
        <v/>
      </c>
      <c r="B105" s="18"/>
      <c r="C105" s="18"/>
      <c r="D105" s="18"/>
      <c r="E105" s="18"/>
      <c r="F105" s="19" t="str">
        <f aca="true">IF(C105="","",IF(F104="",TODAY(),F105))</f>
        <v/>
      </c>
      <c r="G105" s="19"/>
      <c r="H105" s="17"/>
      <c r="I105" s="17"/>
      <c r="J105" s="20" t="str">
        <f aca="true">IF(G105="","",IF(OR(H105="Concluído",H105="Cancelado"),"",G105-TODAY()))</f>
        <v/>
      </c>
      <c r="K105" s="18"/>
    </row>
    <row r="106" customFormat="false" ht="24" hidden="false" customHeight="true" outlineLevel="0" collapsed="false">
      <c r="A106" s="17" t="str">
        <f aca="false">IF(C106="","",MAX($A$5:A105)+1)</f>
        <v/>
      </c>
      <c r="B106" s="18"/>
      <c r="C106" s="18"/>
      <c r="D106" s="18"/>
      <c r="E106" s="18"/>
      <c r="F106" s="19" t="str">
        <f aca="true">IF(C106="","",IF(F105="",TODAY(),F106))</f>
        <v/>
      </c>
      <c r="G106" s="19"/>
      <c r="H106" s="17"/>
      <c r="I106" s="17"/>
      <c r="J106" s="20" t="str">
        <f aca="true">IF(G106="","",IF(OR(H106="Concluído",H106="Cancelado"),"",G106-TODAY()))</f>
        <v/>
      </c>
      <c r="K106" s="18"/>
    </row>
    <row r="107" customFormat="false" ht="24" hidden="false" customHeight="true" outlineLevel="0" collapsed="false">
      <c r="A107" s="17" t="str">
        <f aca="false">IF(C107="","",MAX($A$5:A106)+1)</f>
        <v/>
      </c>
      <c r="B107" s="18"/>
      <c r="C107" s="18"/>
      <c r="D107" s="18"/>
      <c r="E107" s="18"/>
      <c r="F107" s="19" t="str">
        <f aca="true">IF(C107="","",IF(F106="",TODAY(),F107))</f>
        <v/>
      </c>
      <c r="G107" s="19"/>
      <c r="H107" s="17"/>
      <c r="I107" s="17"/>
      <c r="J107" s="20" t="str">
        <f aca="true">IF(G107="","",IF(OR(H107="Concluído",H107="Cancelado"),"",G107-TODAY()))</f>
        <v/>
      </c>
      <c r="K107" s="18"/>
    </row>
    <row r="108" customFormat="false" ht="24" hidden="false" customHeight="true" outlineLevel="0" collapsed="false">
      <c r="A108" s="17" t="str">
        <f aca="false">IF(C108="","",MAX($A$5:A107)+1)</f>
        <v/>
      </c>
      <c r="B108" s="18"/>
      <c r="C108" s="18"/>
      <c r="D108" s="18"/>
      <c r="E108" s="18"/>
      <c r="F108" s="19" t="str">
        <f aca="true">IF(C108="","",IF(F107="",TODAY(),F108))</f>
        <v/>
      </c>
      <c r="G108" s="19"/>
      <c r="H108" s="17"/>
      <c r="I108" s="17"/>
      <c r="J108" s="20" t="str">
        <f aca="true">IF(G108="","",IF(OR(H108="Concluído",H108="Cancelado"),"",G108-TODAY()))</f>
        <v/>
      </c>
      <c r="K108" s="18"/>
    </row>
    <row r="109" customFormat="false" ht="24" hidden="false" customHeight="true" outlineLevel="0" collapsed="false">
      <c r="A109" s="17" t="str">
        <f aca="false">IF(C109="","",MAX($A$5:A108)+1)</f>
        <v/>
      </c>
      <c r="B109" s="18"/>
      <c r="C109" s="18"/>
      <c r="D109" s="18"/>
      <c r="E109" s="18"/>
      <c r="F109" s="19" t="str">
        <f aca="true">IF(C109="","",IF(F108="",TODAY(),F109))</f>
        <v/>
      </c>
      <c r="G109" s="19"/>
      <c r="H109" s="17"/>
      <c r="I109" s="17"/>
      <c r="J109" s="20" t="str">
        <f aca="true">IF(G109="","",IF(OR(H109="Concluído",H109="Cancelado"),"",G109-TODAY()))</f>
        <v/>
      </c>
      <c r="K109" s="18"/>
    </row>
    <row r="110" customFormat="false" ht="24" hidden="false" customHeight="true" outlineLevel="0" collapsed="false">
      <c r="A110" s="17" t="str">
        <f aca="false">IF(C110="","",MAX($A$5:A109)+1)</f>
        <v/>
      </c>
      <c r="B110" s="18"/>
      <c r="C110" s="18"/>
      <c r="D110" s="18"/>
      <c r="E110" s="18"/>
      <c r="F110" s="19" t="str">
        <f aca="true">IF(C110="","",IF(F109="",TODAY(),F110))</f>
        <v/>
      </c>
      <c r="G110" s="19"/>
      <c r="H110" s="17"/>
      <c r="I110" s="17"/>
      <c r="J110" s="20" t="str">
        <f aca="true">IF(G110="","",IF(OR(H110="Concluído",H110="Cancelado"),"",G110-TODAY()))</f>
        <v/>
      </c>
      <c r="K110" s="18"/>
    </row>
    <row r="111" customFormat="false" ht="24" hidden="false" customHeight="true" outlineLevel="0" collapsed="false">
      <c r="A111" s="17" t="str">
        <f aca="false">IF(C111="","",MAX($A$5:A110)+1)</f>
        <v/>
      </c>
      <c r="B111" s="18"/>
      <c r="C111" s="18"/>
      <c r="D111" s="18"/>
      <c r="E111" s="18"/>
      <c r="F111" s="19" t="str">
        <f aca="true">IF(C111="","",IF(F110="",TODAY(),F111))</f>
        <v/>
      </c>
      <c r="G111" s="19"/>
      <c r="H111" s="17"/>
      <c r="I111" s="17"/>
      <c r="J111" s="20" t="str">
        <f aca="true">IF(G111="","",IF(OR(H111="Concluído",H111="Cancelado"),"",G111-TODAY()))</f>
        <v/>
      </c>
      <c r="K111" s="18"/>
    </row>
    <row r="112" customFormat="false" ht="24" hidden="false" customHeight="true" outlineLevel="0" collapsed="false">
      <c r="A112" s="17" t="str">
        <f aca="false">IF(C112="","",MAX($A$5:A111)+1)</f>
        <v/>
      </c>
      <c r="B112" s="18"/>
      <c r="C112" s="18"/>
      <c r="D112" s="18"/>
      <c r="E112" s="18"/>
      <c r="F112" s="19" t="str">
        <f aca="true">IF(C112="","",IF(F111="",TODAY(),F112))</f>
        <v/>
      </c>
      <c r="G112" s="19"/>
      <c r="H112" s="17"/>
      <c r="I112" s="17"/>
      <c r="J112" s="20" t="str">
        <f aca="true">IF(G112="","",IF(OR(H112="Concluído",H112="Cancelado"),"",G112-TODAY()))</f>
        <v/>
      </c>
      <c r="K112" s="18"/>
    </row>
    <row r="113" customFormat="false" ht="24" hidden="false" customHeight="true" outlineLevel="0" collapsed="false">
      <c r="A113" s="17" t="str">
        <f aca="false">IF(C113="","",MAX($A$5:A112)+1)</f>
        <v/>
      </c>
      <c r="B113" s="18"/>
      <c r="C113" s="18"/>
      <c r="D113" s="18"/>
      <c r="E113" s="18"/>
      <c r="F113" s="19" t="str">
        <f aca="true">IF(C113="","",IF(F112="",TODAY(),F113))</f>
        <v/>
      </c>
      <c r="G113" s="19"/>
      <c r="H113" s="17"/>
      <c r="I113" s="17"/>
      <c r="J113" s="20" t="str">
        <f aca="true">IF(G113="","",IF(OR(H113="Concluído",H113="Cancelado"),"",G113-TODAY()))</f>
        <v/>
      </c>
      <c r="K113" s="18"/>
    </row>
    <row r="114" customFormat="false" ht="24" hidden="false" customHeight="true" outlineLevel="0" collapsed="false">
      <c r="A114" s="17" t="str">
        <f aca="false">IF(C114="","",MAX($A$5:A113)+1)</f>
        <v/>
      </c>
      <c r="B114" s="18"/>
      <c r="C114" s="18"/>
      <c r="D114" s="18"/>
      <c r="E114" s="18"/>
      <c r="F114" s="19" t="str">
        <f aca="true">IF(C114="","",IF(F113="",TODAY(),F114))</f>
        <v/>
      </c>
      <c r="G114" s="19"/>
      <c r="H114" s="17"/>
      <c r="I114" s="17"/>
      <c r="J114" s="20" t="str">
        <f aca="true">IF(G114="","",IF(OR(H114="Concluído",H114="Cancelado"),"",G114-TODAY()))</f>
        <v/>
      </c>
      <c r="K114" s="18"/>
    </row>
    <row r="115" customFormat="false" ht="24" hidden="false" customHeight="true" outlineLevel="0" collapsed="false">
      <c r="A115" s="17" t="str">
        <f aca="false">IF(C115="","",MAX($A$5:A114)+1)</f>
        <v/>
      </c>
      <c r="B115" s="18"/>
      <c r="C115" s="18"/>
      <c r="D115" s="18"/>
      <c r="E115" s="18"/>
      <c r="F115" s="19" t="str">
        <f aca="true">IF(C115="","",IF(F114="",TODAY(),F115))</f>
        <v/>
      </c>
      <c r="G115" s="19"/>
      <c r="H115" s="17"/>
      <c r="I115" s="17"/>
      <c r="J115" s="20" t="str">
        <f aca="true">IF(G115="","",IF(OR(H115="Concluído",H115="Cancelado"),"",G115-TODAY()))</f>
        <v/>
      </c>
      <c r="K115" s="18"/>
    </row>
    <row r="116" customFormat="false" ht="24" hidden="false" customHeight="true" outlineLevel="0" collapsed="false">
      <c r="A116" s="17" t="str">
        <f aca="false">IF(C116="","",MAX($A$5:A115)+1)</f>
        <v/>
      </c>
      <c r="B116" s="18"/>
      <c r="C116" s="18"/>
      <c r="D116" s="18"/>
      <c r="E116" s="18"/>
      <c r="F116" s="19" t="str">
        <f aca="true">IF(C116="","",IF(F115="",TODAY(),F116))</f>
        <v/>
      </c>
      <c r="G116" s="19"/>
      <c r="H116" s="17"/>
      <c r="I116" s="17"/>
      <c r="J116" s="20" t="str">
        <f aca="true">IF(G116="","",IF(OR(H116="Concluído",H116="Cancelado"),"",G116-TODAY()))</f>
        <v/>
      </c>
      <c r="K116" s="18"/>
    </row>
    <row r="117" customFormat="false" ht="24" hidden="false" customHeight="true" outlineLevel="0" collapsed="false">
      <c r="A117" s="17" t="str">
        <f aca="false">IF(C117="","",MAX($A$5:A116)+1)</f>
        <v/>
      </c>
      <c r="B117" s="18"/>
      <c r="C117" s="18"/>
      <c r="D117" s="18"/>
      <c r="E117" s="18"/>
      <c r="F117" s="19" t="str">
        <f aca="true">IF(C117="","",IF(F116="",TODAY(),F117))</f>
        <v/>
      </c>
      <c r="G117" s="19"/>
      <c r="H117" s="17"/>
      <c r="I117" s="17"/>
      <c r="J117" s="20" t="str">
        <f aca="true">IF(G117="","",IF(OR(H117="Concluído",H117="Cancelado"),"",G117-TODAY()))</f>
        <v/>
      </c>
      <c r="K117" s="18"/>
    </row>
    <row r="118" customFormat="false" ht="24" hidden="false" customHeight="true" outlineLevel="0" collapsed="false">
      <c r="A118" s="17" t="str">
        <f aca="false">IF(C118="","",MAX($A$5:A117)+1)</f>
        <v/>
      </c>
      <c r="B118" s="18"/>
      <c r="C118" s="18"/>
      <c r="D118" s="18"/>
      <c r="E118" s="18"/>
      <c r="F118" s="19" t="str">
        <f aca="true">IF(C118="","",IF(F117="",TODAY(),F118))</f>
        <v/>
      </c>
      <c r="G118" s="19"/>
      <c r="H118" s="17"/>
      <c r="I118" s="17"/>
      <c r="J118" s="20" t="str">
        <f aca="true">IF(G118="","",IF(OR(H118="Concluído",H118="Cancelado"),"",G118-TODAY()))</f>
        <v/>
      </c>
      <c r="K118" s="18"/>
    </row>
    <row r="119" customFormat="false" ht="24" hidden="false" customHeight="true" outlineLevel="0" collapsed="false">
      <c r="A119" s="17" t="str">
        <f aca="false">IF(C119="","",MAX($A$5:A118)+1)</f>
        <v/>
      </c>
      <c r="B119" s="18"/>
      <c r="C119" s="18"/>
      <c r="D119" s="18"/>
      <c r="E119" s="18"/>
      <c r="F119" s="19" t="str">
        <f aca="true">IF(C119="","",IF(F118="",TODAY(),F119))</f>
        <v/>
      </c>
      <c r="G119" s="19"/>
      <c r="H119" s="17"/>
      <c r="I119" s="17"/>
      <c r="J119" s="20" t="str">
        <f aca="true">IF(G119="","",IF(OR(H119="Concluído",H119="Cancelado"),"",G119-TODAY()))</f>
        <v/>
      </c>
      <c r="K119" s="18"/>
    </row>
    <row r="120" customFormat="false" ht="24" hidden="false" customHeight="true" outlineLevel="0" collapsed="false">
      <c r="A120" s="17" t="str">
        <f aca="false">IF(C120="","",MAX($A$5:A119)+1)</f>
        <v/>
      </c>
      <c r="B120" s="18"/>
      <c r="C120" s="18"/>
      <c r="D120" s="18"/>
      <c r="E120" s="18"/>
      <c r="F120" s="19" t="str">
        <f aca="true">IF(C120="","",IF(F119="",TODAY(),F120))</f>
        <v/>
      </c>
      <c r="G120" s="19"/>
      <c r="H120" s="17"/>
      <c r="I120" s="17"/>
      <c r="J120" s="20" t="str">
        <f aca="true">IF(G120="","",IF(OR(H120="Concluído",H120="Cancelado"),"",G120-TODAY()))</f>
        <v/>
      </c>
      <c r="K120" s="18"/>
    </row>
    <row r="121" customFormat="false" ht="24" hidden="false" customHeight="true" outlineLevel="0" collapsed="false">
      <c r="A121" s="17" t="str">
        <f aca="false">IF(C121="","",MAX($A$5:A120)+1)</f>
        <v/>
      </c>
      <c r="B121" s="18"/>
      <c r="C121" s="18"/>
      <c r="D121" s="18"/>
      <c r="E121" s="18"/>
      <c r="F121" s="19" t="str">
        <f aca="true">IF(C121="","",IF(F120="",TODAY(),F121))</f>
        <v/>
      </c>
      <c r="G121" s="19"/>
      <c r="H121" s="17"/>
      <c r="I121" s="17"/>
      <c r="J121" s="20" t="str">
        <f aca="true">IF(G121="","",IF(OR(H121="Concluído",H121="Cancelado"),"",G121-TODAY()))</f>
        <v/>
      </c>
      <c r="K121" s="18"/>
    </row>
    <row r="122" customFormat="false" ht="24" hidden="false" customHeight="true" outlineLevel="0" collapsed="false">
      <c r="A122" s="17" t="str">
        <f aca="false">IF(C122="","",MAX($A$5:A121)+1)</f>
        <v/>
      </c>
      <c r="B122" s="18"/>
      <c r="C122" s="18"/>
      <c r="D122" s="18"/>
      <c r="E122" s="18"/>
      <c r="F122" s="19" t="str">
        <f aca="true">IF(C122="","",IF(F121="",TODAY(),F122))</f>
        <v/>
      </c>
      <c r="G122" s="19"/>
      <c r="H122" s="17"/>
      <c r="I122" s="17"/>
      <c r="J122" s="20" t="str">
        <f aca="true">IF(G122="","",IF(OR(H122="Concluído",H122="Cancelado"),"",G122-TODAY()))</f>
        <v/>
      </c>
      <c r="K122" s="18"/>
    </row>
    <row r="123" customFormat="false" ht="24" hidden="false" customHeight="true" outlineLevel="0" collapsed="false">
      <c r="A123" s="17" t="str">
        <f aca="false">IF(C123="","",MAX($A$5:A122)+1)</f>
        <v/>
      </c>
      <c r="B123" s="18"/>
      <c r="C123" s="18"/>
      <c r="D123" s="18"/>
      <c r="E123" s="18"/>
      <c r="F123" s="19" t="str">
        <f aca="true">IF(C123="","",IF(F122="",TODAY(),F123))</f>
        <v/>
      </c>
      <c r="G123" s="19"/>
      <c r="H123" s="17"/>
      <c r="I123" s="17"/>
      <c r="J123" s="20" t="str">
        <f aca="true">IF(G123="","",IF(OR(H123="Concluído",H123="Cancelado"),"",G123-TODAY()))</f>
        <v/>
      </c>
      <c r="K123" s="18"/>
    </row>
    <row r="124" customFormat="false" ht="24" hidden="false" customHeight="true" outlineLevel="0" collapsed="false">
      <c r="A124" s="17" t="str">
        <f aca="false">IF(C124="","",MAX($A$5:A123)+1)</f>
        <v/>
      </c>
      <c r="B124" s="18"/>
      <c r="C124" s="18"/>
      <c r="D124" s="18"/>
      <c r="E124" s="18"/>
      <c r="F124" s="19" t="str">
        <f aca="true">IF(C124="","",IF(F123="",TODAY(),F124))</f>
        <v/>
      </c>
      <c r="G124" s="19"/>
      <c r="H124" s="17"/>
      <c r="I124" s="17"/>
      <c r="J124" s="20" t="str">
        <f aca="true">IF(G124="","",IF(OR(H124="Concluído",H124="Cancelado"),"",G124-TODAY()))</f>
        <v/>
      </c>
      <c r="K124" s="18"/>
    </row>
    <row r="125" customFormat="false" ht="24" hidden="false" customHeight="true" outlineLevel="0" collapsed="false">
      <c r="A125" s="17" t="str">
        <f aca="false">IF(C125="","",MAX($A$5:A124)+1)</f>
        <v/>
      </c>
      <c r="B125" s="18"/>
      <c r="C125" s="18"/>
      <c r="D125" s="18"/>
      <c r="E125" s="18"/>
      <c r="F125" s="19" t="str">
        <f aca="true">IF(C125="","",IF(F124="",TODAY(),F125))</f>
        <v/>
      </c>
      <c r="G125" s="19"/>
      <c r="H125" s="17"/>
      <c r="I125" s="17"/>
      <c r="J125" s="20" t="str">
        <f aca="true">IF(G125="","",IF(OR(H125="Concluído",H125="Cancelado"),"",G125-TODAY()))</f>
        <v/>
      </c>
      <c r="K125" s="18"/>
    </row>
    <row r="126" customFormat="false" ht="24" hidden="false" customHeight="true" outlineLevel="0" collapsed="false">
      <c r="A126" s="17" t="str">
        <f aca="false">IF(C126="","",MAX($A$5:A125)+1)</f>
        <v/>
      </c>
      <c r="B126" s="18"/>
      <c r="C126" s="18"/>
      <c r="D126" s="18"/>
      <c r="E126" s="18"/>
      <c r="F126" s="19" t="str">
        <f aca="true">IF(C126="","",IF(F125="",TODAY(),F126))</f>
        <v/>
      </c>
      <c r="G126" s="19"/>
      <c r="H126" s="17"/>
      <c r="I126" s="17"/>
      <c r="J126" s="20" t="str">
        <f aca="true">IF(G126="","",IF(OR(H126="Concluído",H126="Cancelado"),"",G126-TODAY()))</f>
        <v/>
      </c>
      <c r="K126" s="18"/>
    </row>
    <row r="127" customFormat="false" ht="24" hidden="false" customHeight="true" outlineLevel="0" collapsed="false">
      <c r="A127" s="17" t="str">
        <f aca="false">IF(C127="","",MAX($A$5:A126)+1)</f>
        <v/>
      </c>
      <c r="B127" s="18"/>
      <c r="C127" s="18"/>
      <c r="D127" s="18"/>
      <c r="E127" s="18"/>
      <c r="F127" s="19" t="str">
        <f aca="true">IF(C127="","",IF(F126="",TODAY(),F127))</f>
        <v/>
      </c>
      <c r="G127" s="19"/>
      <c r="H127" s="17"/>
      <c r="I127" s="17"/>
      <c r="J127" s="20" t="str">
        <f aca="true">IF(G127="","",IF(OR(H127="Concluído",H127="Cancelado"),"",G127-TODAY()))</f>
        <v/>
      </c>
      <c r="K127" s="18"/>
    </row>
    <row r="128" customFormat="false" ht="24" hidden="false" customHeight="true" outlineLevel="0" collapsed="false">
      <c r="A128" s="17" t="str">
        <f aca="false">IF(C128="","",MAX($A$5:A127)+1)</f>
        <v/>
      </c>
      <c r="B128" s="18"/>
      <c r="C128" s="18"/>
      <c r="D128" s="18"/>
      <c r="E128" s="18"/>
      <c r="F128" s="19" t="str">
        <f aca="true">IF(C128="","",IF(F127="",TODAY(),F128))</f>
        <v/>
      </c>
      <c r="G128" s="19"/>
      <c r="H128" s="17"/>
      <c r="I128" s="17"/>
      <c r="J128" s="20" t="str">
        <f aca="true">IF(G128="","",IF(OR(H128="Concluído",H128="Cancelado"),"",G128-TODAY()))</f>
        <v/>
      </c>
      <c r="K128" s="18"/>
    </row>
    <row r="129" customFormat="false" ht="24" hidden="false" customHeight="true" outlineLevel="0" collapsed="false">
      <c r="A129" s="17" t="str">
        <f aca="false">IF(C129="","",MAX($A$5:A128)+1)</f>
        <v/>
      </c>
      <c r="B129" s="18"/>
      <c r="C129" s="18"/>
      <c r="D129" s="18"/>
      <c r="E129" s="18"/>
      <c r="F129" s="19" t="str">
        <f aca="true">IF(C129="","",IF(F128="",TODAY(),F129))</f>
        <v/>
      </c>
      <c r="G129" s="19"/>
      <c r="H129" s="17"/>
      <c r="I129" s="17"/>
      <c r="J129" s="20" t="str">
        <f aca="true">IF(G129="","",IF(OR(H129="Concluído",H129="Cancelado"),"",G129-TODAY()))</f>
        <v/>
      </c>
      <c r="K129" s="18"/>
    </row>
    <row r="130" customFormat="false" ht="24" hidden="false" customHeight="true" outlineLevel="0" collapsed="false">
      <c r="A130" s="17" t="str">
        <f aca="false">IF(C130="","",MAX($A$5:A129)+1)</f>
        <v/>
      </c>
      <c r="B130" s="18"/>
      <c r="C130" s="18"/>
      <c r="D130" s="18"/>
      <c r="E130" s="18"/>
      <c r="F130" s="19" t="str">
        <f aca="true">IF(C130="","",IF(F129="",TODAY(),F130))</f>
        <v/>
      </c>
      <c r="G130" s="19"/>
      <c r="H130" s="17"/>
      <c r="I130" s="17"/>
      <c r="J130" s="20" t="str">
        <f aca="true">IF(G130="","",IF(OR(H130="Concluído",H130="Cancelado"),"",G130-TODAY()))</f>
        <v/>
      </c>
      <c r="K130" s="18"/>
    </row>
    <row r="131" customFormat="false" ht="24" hidden="false" customHeight="true" outlineLevel="0" collapsed="false">
      <c r="A131" s="17" t="str">
        <f aca="false">IF(C131="","",MAX($A$5:A130)+1)</f>
        <v/>
      </c>
      <c r="B131" s="18"/>
      <c r="C131" s="18"/>
      <c r="D131" s="18"/>
      <c r="E131" s="18"/>
      <c r="F131" s="19" t="str">
        <f aca="true">IF(C131="","",IF(F130="",TODAY(),F131))</f>
        <v/>
      </c>
      <c r="G131" s="19"/>
      <c r="H131" s="17"/>
      <c r="I131" s="17"/>
      <c r="J131" s="20" t="str">
        <f aca="true">IF(G131="","",IF(OR(H131="Concluído",H131="Cancelado"),"",G131-TODAY()))</f>
        <v/>
      </c>
      <c r="K131" s="18"/>
    </row>
    <row r="132" customFormat="false" ht="24" hidden="false" customHeight="true" outlineLevel="0" collapsed="false">
      <c r="A132" s="17" t="str">
        <f aca="false">IF(C132="","",MAX($A$5:A131)+1)</f>
        <v/>
      </c>
      <c r="B132" s="18"/>
      <c r="C132" s="18"/>
      <c r="D132" s="18"/>
      <c r="E132" s="18"/>
      <c r="F132" s="19" t="str">
        <f aca="true">IF(C132="","",IF(F131="",TODAY(),F132))</f>
        <v/>
      </c>
      <c r="G132" s="19"/>
      <c r="H132" s="17"/>
      <c r="I132" s="17"/>
      <c r="J132" s="20" t="str">
        <f aca="true">IF(G132="","",IF(OR(H132="Concluído",H132="Cancelado"),"",G132-TODAY()))</f>
        <v/>
      </c>
      <c r="K132" s="18"/>
    </row>
    <row r="133" customFormat="false" ht="24" hidden="false" customHeight="true" outlineLevel="0" collapsed="false">
      <c r="A133" s="17" t="str">
        <f aca="false">IF(C133="","",MAX($A$5:A132)+1)</f>
        <v/>
      </c>
      <c r="B133" s="18"/>
      <c r="C133" s="18"/>
      <c r="D133" s="18"/>
      <c r="E133" s="18"/>
      <c r="F133" s="19" t="str">
        <f aca="true">IF(C133="","",IF(F132="",TODAY(),F133))</f>
        <v/>
      </c>
      <c r="G133" s="19"/>
      <c r="H133" s="17"/>
      <c r="I133" s="17"/>
      <c r="J133" s="20" t="str">
        <f aca="true">IF(G133="","",IF(OR(H133="Concluído",H133="Cancelado"),"",G133-TODAY()))</f>
        <v/>
      </c>
      <c r="K133" s="18"/>
    </row>
    <row r="134" customFormat="false" ht="24" hidden="false" customHeight="true" outlineLevel="0" collapsed="false">
      <c r="A134" s="17" t="str">
        <f aca="false">IF(C134="","",MAX($A$5:A133)+1)</f>
        <v/>
      </c>
      <c r="B134" s="18"/>
      <c r="C134" s="18"/>
      <c r="D134" s="18"/>
      <c r="E134" s="18"/>
      <c r="F134" s="19" t="str">
        <f aca="true">IF(C134="","",IF(F133="",TODAY(),F134))</f>
        <v/>
      </c>
      <c r="G134" s="19"/>
      <c r="H134" s="17"/>
      <c r="I134" s="17"/>
      <c r="J134" s="20" t="str">
        <f aca="true">IF(G134="","",IF(OR(H134="Concluído",H134="Cancelado"),"",G134-TODAY()))</f>
        <v/>
      </c>
      <c r="K134" s="18"/>
    </row>
    <row r="135" customFormat="false" ht="24" hidden="false" customHeight="true" outlineLevel="0" collapsed="false">
      <c r="A135" s="17" t="str">
        <f aca="false">IF(C135="","",MAX($A$5:A134)+1)</f>
        <v/>
      </c>
      <c r="B135" s="18"/>
      <c r="C135" s="18"/>
      <c r="D135" s="18"/>
      <c r="E135" s="18"/>
      <c r="F135" s="19" t="str">
        <f aca="true">IF(C135="","",IF(F134="",TODAY(),F135))</f>
        <v/>
      </c>
      <c r="G135" s="19"/>
      <c r="H135" s="17"/>
      <c r="I135" s="17"/>
      <c r="J135" s="20" t="str">
        <f aca="true">IF(G135="","",IF(OR(H135="Concluído",H135="Cancelado"),"",G135-TODAY()))</f>
        <v/>
      </c>
      <c r="K135" s="18"/>
    </row>
    <row r="136" customFormat="false" ht="24" hidden="false" customHeight="true" outlineLevel="0" collapsed="false">
      <c r="A136" s="17" t="str">
        <f aca="false">IF(C136="","",MAX($A$5:A135)+1)</f>
        <v/>
      </c>
      <c r="B136" s="18"/>
      <c r="C136" s="18"/>
      <c r="D136" s="18"/>
      <c r="E136" s="18"/>
      <c r="F136" s="19" t="str">
        <f aca="true">IF(C136="","",IF(F135="",TODAY(),F136))</f>
        <v/>
      </c>
      <c r="G136" s="19"/>
      <c r="H136" s="17"/>
      <c r="I136" s="17"/>
      <c r="J136" s="20" t="str">
        <f aca="true">IF(G136="","",IF(OR(H136="Concluído",H136="Cancelado"),"",G136-TODAY()))</f>
        <v/>
      </c>
      <c r="K136" s="18"/>
    </row>
    <row r="137" customFormat="false" ht="24" hidden="false" customHeight="true" outlineLevel="0" collapsed="false">
      <c r="A137" s="17" t="str">
        <f aca="false">IF(C137="","",MAX($A$5:A136)+1)</f>
        <v/>
      </c>
      <c r="B137" s="18"/>
      <c r="C137" s="18"/>
      <c r="D137" s="18"/>
      <c r="E137" s="18"/>
      <c r="F137" s="19" t="str">
        <f aca="true">IF(C137="","",IF(F136="",TODAY(),F137))</f>
        <v/>
      </c>
      <c r="G137" s="19"/>
      <c r="H137" s="17"/>
      <c r="I137" s="17"/>
      <c r="J137" s="20" t="str">
        <f aca="true">IF(G137="","",IF(OR(H137="Concluído",H137="Cancelado"),"",G137-TODAY()))</f>
        <v/>
      </c>
      <c r="K137" s="18"/>
    </row>
    <row r="138" customFormat="false" ht="24" hidden="false" customHeight="true" outlineLevel="0" collapsed="false">
      <c r="A138" s="17" t="str">
        <f aca="false">IF(C138="","",MAX($A$5:A137)+1)</f>
        <v/>
      </c>
      <c r="B138" s="18"/>
      <c r="C138" s="18"/>
      <c r="D138" s="18"/>
      <c r="E138" s="18"/>
      <c r="F138" s="19" t="str">
        <f aca="true">IF(C138="","",IF(F137="",TODAY(),F138))</f>
        <v/>
      </c>
      <c r="G138" s="19"/>
      <c r="H138" s="17"/>
      <c r="I138" s="17"/>
      <c r="J138" s="20" t="str">
        <f aca="true">IF(G138="","",IF(OR(H138="Concluído",H138="Cancelado"),"",G138-TODAY()))</f>
        <v/>
      </c>
      <c r="K138" s="18"/>
    </row>
    <row r="139" customFormat="false" ht="24" hidden="false" customHeight="true" outlineLevel="0" collapsed="false">
      <c r="A139" s="17" t="str">
        <f aca="false">IF(C139="","",MAX($A$5:A138)+1)</f>
        <v/>
      </c>
      <c r="B139" s="18"/>
      <c r="C139" s="18"/>
      <c r="D139" s="18"/>
      <c r="E139" s="18"/>
      <c r="F139" s="19" t="str">
        <f aca="true">IF(C139="","",IF(F138="",TODAY(),F139))</f>
        <v/>
      </c>
      <c r="G139" s="19"/>
      <c r="H139" s="17"/>
      <c r="I139" s="17"/>
      <c r="J139" s="20" t="str">
        <f aca="true">IF(G139="","",IF(OR(H139="Concluído",H139="Cancelado"),"",G139-TODAY()))</f>
        <v/>
      </c>
      <c r="K139" s="18"/>
    </row>
    <row r="140" customFormat="false" ht="24" hidden="false" customHeight="true" outlineLevel="0" collapsed="false">
      <c r="A140" s="17" t="str">
        <f aca="false">IF(C140="","",MAX($A$5:A139)+1)</f>
        <v/>
      </c>
      <c r="B140" s="18"/>
      <c r="C140" s="18"/>
      <c r="D140" s="18"/>
      <c r="E140" s="18"/>
      <c r="F140" s="19" t="str">
        <f aca="true">IF(C140="","",IF(F139="",TODAY(),F140))</f>
        <v/>
      </c>
      <c r="G140" s="19"/>
      <c r="H140" s="17"/>
      <c r="I140" s="17"/>
      <c r="J140" s="20" t="str">
        <f aca="true">IF(G140="","",IF(OR(H140="Concluído",H140="Cancelado"),"",G140-TODAY()))</f>
        <v/>
      </c>
      <c r="K140" s="18"/>
    </row>
    <row r="141" customFormat="false" ht="24" hidden="false" customHeight="true" outlineLevel="0" collapsed="false">
      <c r="A141" s="17" t="str">
        <f aca="false">IF(C141="","",MAX($A$5:A140)+1)</f>
        <v/>
      </c>
      <c r="B141" s="18"/>
      <c r="C141" s="18"/>
      <c r="D141" s="18"/>
      <c r="E141" s="18"/>
      <c r="F141" s="19" t="str">
        <f aca="true">IF(C141="","",IF(F140="",TODAY(),F141))</f>
        <v/>
      </c>
      <c r="G141" s="19"/>
      <c r="H141" s="17"/>
      <c r="I141" s="17"/>
      <c r="J141" s="20" t="str">
        <f aca="true">IF(G141="","",IF(OR(H141="Concluído",H141="Cancelado"),"",G141-TODAY()))</f>
        <v/>
      </c>
      <c r="K141" s="18"/>
    </row>
    <row r="142" customFormat="false" ht="24" hidden="false" customHeight="true" outlineLevel="0" collapsed="false">
      <c r="A142" s="17" t="str">
        <f aca="false">IF(C142="","",MAX($A$5:A141)+1)</f>
        <v/>
      </c>
      <c r="B142" s="18"/>
      <c r="C142" s="18"/>
      <c r="D142" s="18"/>
      <c r="E142" s="18"/>
      <c r="F142" s="19" t="str">
        <f aca="true">IF(C142="","",IF(F141="",TODAY(),F142))</f>
        <v/>
      </c>
      <c r="G142" s="19"/>
      <c r="H142" s="17"/>
      <c r="I142" s="17"/>
      <c r="J142" s="20" t="str">
        <f aca="true">IF(G142="","",IF(OR(H142="Concluído",H142="Cancelado"),"",G142-TODAY()))</f>
        <v/>
      </c>
      <c r="K142" s="18"/>
    </row>
    <row r="143" customFormat="false" ht="24" hidden="false" customHeight="true" outlineLevel="0" collapsed="false">
      <c r="A143" s="17" t="str">
        <f aca="false">IF(C143="","",MAX($A$5:A142)+1)</f>
        <v/>
      </c>
      <c r="B143" s="18"/>
      <c r="C143" s="18"/>
      <c r="D143" s="18"/>
      <c r="E143" s="18"/>
      <c r="F143" s="19" t="str">
        <f aca="true">IF(C143="","",IF(F142="",TODAY(),F143))</f>
        <v/>
      </c>
      <c r="G143" s="19"/>
      <c r="H143" s="17"/>
      <c r="I143" s="17"/>
      <c r="J143" s="20" t="str">
        <f aca="true">IF(G143="","",IF(OR(H143="Concluído",H143="Cancelado"),"",G143-TODAY()))</f>
        <v/>
      </c>
      <c r="K143" s="18"/>
    </row>
    <row r="144" customFormat="false" ht="24" hidden="false" customHeight="true" outlineLevel="0" collapsed="false">
      <c r="A144" s="17" t="str">
        <f aca="false">IF(C144="","",MAX($A$5:A143)+1)</f>
        <v/>
      </c>
      <c r="B144" s="18"/>
      <c r="C144" s="18"/>
      <c r="D144" s="18"/>
      <c r="E144" s="18"/>
      <c r="F144" s="19" t="str">
        <f aca="true">IF(C144="","",IF(F143="",TODAY(),F144))</f>
        <v/>
      </c>
      <c r="G144" s="19"/>
      <c r="H144" s="17"/>
      <c r="I144" s="17"/>
      <c r="J144" s="20" t="str">
        <f aca="true">IF(G144="","",IF(OR(H144="Concluído",H144="Cancelado"),"",G144-TODAY()))</f>
        <v/>
      </c>
      <c r="K144" s="18"/>
    </row>
    <row r="145" customFormat="false" ht="24" hidden="false" customHeight="true" outlineLevel="0" collapsed="false">
      <c r="A145" s="17" t="str">
        <f aca="false">IF(C145="","",MAX($A$5:A144)+1)</f>
        <v/>
      </c>
      <c r="B145" s="18"/>
      <c r="C145" s="18"/>
      <c r="D145" s="18"/>
      <c r="E145" s="18"/>
      <c r="F145" s="19" t="str">
        <f aca="true">IF(C145="","",IF(F144="",TODAY(),F145))</f>
        <v/>
      </c>
      <c r="G145" s="19"/>
      <c r="H145" s="17"/>
      <c r="I145" s="17"/>
      <c r="J145" s="20" t="str">
        <f aca="true">IF(G145="","",IF(OR(H145="Concluído",H145="Cancelado"),"",G145-TODAY()))</f>
        <v/>
      </c>
      <c r="K145" s="18"/>
    </row>
    <row r="146" customFormat="false" ht="24" hidden="false" customHeight="true" outlineLevel="0" collapsed="false">
      <c r="A146" s="17" t="str">
        <f aca="false">IF(C146="","",MAX($A$5:A145)+1)</f>
        <v/>
      </c>
      <c r="B146" s="18"/>
      <c r="C146" s="18"/>
      <c r="D146" s="18"/>
      <c r="E146" s="18"/>
      <c r="F146" s="19" t="str">
        <f aca="true">IF(C146="","",IF(F145="",TODAY(),F146))</f>
        <v/>
      </c>
      <c r="G146" s="19"/>
      <c r="H146" s="17"/>
      <c r="I146" s="17"/>
      <c r="J146" s="20" t="str">
        <f aca="true">IF(G146="","",IF(OR(H146="Concluído",H146="Cancelado"),"",G146-TODAY()))</f>
        <v/>
      </c>
      <c r="K146" s="18"/>
    </row>
    <row r="147" customFormat="false" ht="24" hidden="false" customHeight="true" outlineLevel="0" collapsed="false">
      <c r="A147" s="17" t="str">
        <f aca="false">IF(C147="","",MAX($A$5:A146)+1)</f>
        <v/>
      </c>
      <c r="B147" s="18"/>
      <c r="C147" s="18"/>
      <c r="D147" s="18"/>
      <c r="E147" s="18"/>
      <c r="F147" s="19" t="str">
        <f aca="true">IF(C147="","",IF(F146="",TODAY(),F147))</f>
        <v/>
      </c>
      <c r="G147" s="19"/>
      <c r="H147" s="17"/>
      <c r="I147" s="17"/>
      <c r="J147" s="20" t="str">
        <f aca="true">IF(G147="","",IF(OR(H147="Concluído",H147="Cancelado"),"",G147-TODAY()))</f>
        <v/>
      </c>
      <c r="K147" s="18"/>
    </row>
    <row r="148" customFormat="false" ht="24" hidden="false" customHeight="true" outlineLevel="0" collapsed="false">
      <c r="A148" s="17" t="str">
        <f aca="false">IF(C148="","",MAX($A$5:A147)+1)</f>
        <v/>
      </c>
      <c r="B148" s="18"/>
      <c r="C148" s="18"/>
      <c r="D148" s="18"/>
      <c r="E148" s="18"/>
      <c r="F148" s="19" t="str">
        <f aca="true">IF(C148="","",IF(F147="",TODAY(),F148))</f>
        <v/>
      </c>
      <c r="G148" s="19"/>
      <c r="H148" s="17"/>
      <c r="I148" s="17"/>
      <c r="J148" s="20" t="str">
        <f aca="true">IF(G148="","",IF(OR(H148="Concluído",H148="Cancelado"),"",G148-TODAY()))</f>
        <v/>
      </c>
      <c r="K148" s="18"/>
    </row>
    <row r="149" customFormat="false" ht="24" hidden="false" customHeight="true" outlineLevel="0" collapsed="false">
      <c r="A149" s="17" t="str">
        <f aca="false">IF(C149="","",MAX($A$5:A148)+1)</f>
        <v/>
      </c>
      <c r="B149" s="18"/>
      <c r="C149" s="18"/>
      <c r="D149" s="18"/>
      <c r="E149" s="18"/>
      <c r="F149" s="19" t="str">
        <f aca="true">IF(C149="","",IF(F148="",TODAY(),F149))</f>
        <v/>
      </c>
      <c r="G149" s="19"/>
      <c r="H149" s="17"/>
      <c r="I149" s="17"/>
      <c r="J149" s="20" t="str">
        <f aca="true">IF(G149="","",IF(OR(H149="Concluído",H149="Cancelado"),"",G149-TODAY()))</f>
        <v/>
      </c>
      <c r="K149" s="18"/>
    </row>
    <row r="150" customFormat="false" ht="24" hidden="false" customHeight="true" outlineLevel="0" collapsed="false">
      <c r="A150" s="17" t="str">
        <f aca="false">IF(C150="","",MAX($A$5:A149)+1)</f>
        <v/>
      </c>
      <c r="B150" s="18"/>
      <c r="C150" s="18"/>
      <c r="D150" s="18"/>
      <c r="E150" s="18"/>
      <c r="F150" s="19" t="str">
        <f aca="true">IF(C150="","",IF(F149="",TODAY(),F150))</f>
        <v/>
      </c>
      <c r="G150" s="19"/>
      <c r="H150" s="17"/>
      <c r="I150" s="17"/>
      <c r="J150" s="20" t="str">
        <f aca="true">IF(G150="","",IF(OR(H150="Concluído",H150="Cancelado"),"",G150-TODAY()))</f>
        <v/>
      </c>
      <c r="K150" s="18"/>
    </row>
    <row r="151" customFormat="false" ht="24" hidden="false" customHeight="true" outlineLevel="0" collapsed="false">
      <c r="A151" s="17" t="str">
        <f aca="false">IF(C151="","",MAX($A$5:A150)+1)</f>
        <v/>
      </c>
      <c r="B151" s="18"/>
      <c r="C151" s="18"/>
      <c r="D151" s="18"/>
      <c r="E151" s="18"/>
      <c r="F151" s="19" t="str">
        <f aca="true">IF(C151="","",IF(F150="",TODAY(),F151))</f>
        <v/>
      </c>
      <c r="G151" s="19"/>
      <c r="H151" s="17"/>
      <c r="I151" s="17"/>
      <c r="J151" s="20" t="str">
        <f aca="true">IF(G151="","",IF(OR(H151="Concluído",H151="Cancelado"),"",G151-TODAY()))</f>
        <v/>
      </c>
      <c r="K151" s="18"/>
    </row>
    <row r="152" customFormat="false" ht="24" hidden="false" customHeight="true" outlineLevel="0" collapsed="false">
      <c r="A152" s="17" t="str">
        <f aca="false">IF(C152="","",MAX($A$5:A151)+1)</f>
        <v/>
      </c>
      <c r="B152" s="18"/>
      <c r="C152" s="18"/>
      <c r="D152" s="18"/>
      <c r="E152" s="18"/>
      <c r="F152" s="19" t="str">
        <f aca="true">IF(C152="","",IF(F151="",TODAY(),F152))</f>
        <v/>
      </c>
      <c r="G152" s="19"/>
      <c r="H152" s="17"/>
      <c r="I152" s="17"/>
      <c r="J152" s="20" t="str">
        <f aca="true">IF(G152="","",IF(OR(H152="Concluído",H152="Cancelado"),"",G152-TODAY()))</f>
        <v/>
      </c>
      <c r="K152" s="18"/>
    </row>
    <row r="153" customFormat="false" ht="24" hidden="false" customHeight="true" outlineLevel="0" collapsed="false">
      <c r="A153" s="17" t="str">
        <f aca="false">IF(C153="","",MAX($A$5:A152)+1)</f>
        <v/>
      </c>
      <c r="B153" s="18"/>
      <c r="C153" s="18"/>
      <c r="D153" s="18"/>
      <c r="E153" s="18"/>
      <c r="F153" s="19" t="str">
        <f aca="true">IF(C153="","",IF(F152="",TODAY(),F153))</f>
        <v/>
      </c>
      <c r="G153" s="19"/>
      <c r="H153" s="17"/>
      <c r="I153" s="17"/>
      <c r="J153" s="20" t="str">
        <f aca="true">IF(G153="","",IF(OR(H153="Concluído",H153="Cancelado"),"",G153-TODAY()))</f>
        <v/>
      </c>
      <c r="K153" s="18"/>
    </row>
    <row r="154" customFormat="false" ht="24" hidden="false" customHeight="true" outlineLevel="0" collapsed="false">
      <c r="A154" s="17" t="str">
        <f aca="false">IF(C154="","",MAX($A$5:A153)+1)</f>
        <v/>
      </c>
      <c r="B154" s="18"/>
      <c r="C154" s="18"/>
      <c r="D154" s="18"/>
      <c r="E154" s="18"/>
      <c r="F154" s="19" t="str">
        <f aca="true">IF(C154="","",IF(F153="",TODAY(),F154))</f>
        <v/>
      </c>
      <c r="G154" s="19"/>
      <c r="H154" s="17"/>
      <c r="I154" s="17"/>
      <c r="J154" s="20" t="str">
        <f aca="true">IF(G154="","",IF(OR(H154="Concluído",H154="Cancelado"),"",G154-TODAY()))</f>
        <v/>
      </c>
      <c r="K154" s="18"/>
    </row>
    <row r="155" customFormat="false" ht="24" hidden="false" customHeight="true" outlineLevel="0" collapsed="false">
      <c r="A155" s="17" t="str">
        <f aca="false">IF(C155="","",MAX($A$5:A154)+1)</f>
        <v/>
      </c>
      <c r="B155" s="18"/>
      <c r="C155" s="18"/>
      <c r="D155" s="18"/>
      <c r="E155" s="18"/>
      <c r="F155" s="19" t="str">
        <f aca="true">IF(C155="","",IF(F154="",TODAY(),F155))</f>
        <v/>
      </c>
      <c r="G155" s="19"/>
      <c r="H155" s="17"/>
      <c r="I155" s="17"/>
      <c r="J155" s="20" t="str">
        <f aca="true">IF(G155="","",IF(OR(H155="Concluído",H155="Cancelado"),"",G155-TODAY()))</f>
        <v/>
      </c>
      <c r="K155" s="18"/>
    </row>
    <row r="156" customFormat="false" ht="24" hidden="false" customHeight="true" outlineLevel="0" collapsed="false">
      <c r="A156" s="17" t="str">
        <f aca="false">IF(C156="","",MAX($A$5:A155)+1)</f>
        <v/>
      </c>
      <c r="B156" s="18"/>
      <c r="C156" s="18"/>
      <c r="D156" s="18"/>
      <c r="E156" s="18"/>
      <c r="F156" s="19" t="str">
        <f aca="true">IF(C156="","",IF(F155="",TODAY(),F156))</f>
        <v/>
      </c>
      <c r="G156" s="19"/>
      <c r="H156" s="17"/>
      <c r="I156" s="17"/>
      <c r="J156" s="20" t="str">
        <f aca="true">IF(G156="","",IF(OR(H156="Concluído",H156="Cancelado"),"",G156-TODAY()))</f>
        <v/>
      </c>
      <c r="K156" s="18"/>
    </row>
    <row r="157" customFormat="false" ht="24" hidden="false" customHeight="true" outlineLevel="0" collapsed="false">
      <c r="A157" s="17" t="str">
        <f aca="false">IF(C157="","",MAX($A$5:A156)+1)</f>
        <v/>
      </c>
      <c r="B157" s="18"/>
      <c r="C157" s="18"/>
      <c r="D157" s="18"/>
      <c r="E157" s="18"/>
      <c r="F157" s="19" t="str">
        <f aca="true">IF(C157="","",IF(F156="",TODAY(),F157))</f>
        <v/>
      </c>
      <c r="G157" s="19"/>
      <c r="H157" s="17"/>
      <c r="I157" s="17"/>
      <c r="J157" s="20" t="str">
        <f aca="true">IF(G157="","",IF(OR(H157="Concluído",H157="Cancelado"),"",G157-TODAY()))</f>
        <v/>
      </c>
      <c r="K157" s="18"/>
    </row>
    <row r="158" customFormat="false" ht="24" hidden="false" customHeight="true" outlineLevel="0" collapsed="false">
      <c r="A158" s="17" t="str">
        <f aca="false">IF(C158="","",MAX($A$5:A157)+1)</f>
        <v/>
      </c>
      <c r="B158" s="18"/>
      <c r="C158" s="18"/>
      <c r="D158" s="18"/>
      <c r="E158" s="18"/>
      <c r="F158" s="19" t="str">
        <f aca="true">IF(C158="","",IF(F157="",TODAY(),F158))</f>
        <v/>
      </c>
      <c r="G158" s="19"/>
      <c r="H158" s="17"/>
      <c r="I158" s="17"/>
      <c r="J158" s="20" t="str">
        <f aca="true">IF(G158="","",IF(OR(H158="Concluído",H158="Cancelado"),"",G158-TODAY()))</f>
        <v/>
      </c>
      <c r="K158" s="18"/>
    </row>
    <row r="159" customFormat="false" ht="24" hidden="false" customHeight="true" outlineLevel="0" collapsed="false">
      <c r="A159" s="17" t="str">
        <f aca="false">IF(C159="","",MAX($A$5:A158)+1)</f>
        <v/>
      </c>
      <c r="B159" s="18"/>
      <c r="C159" s="18"/>
      <c r="D159" s="18"/>
      <c r="E159" s="18"/>
      <c r="F159" s="19" t="str">
        <f aca="true">IF(C159="","",IF(F158="",TODAY(),F159))</f>
        <v/>
      </c>
      <c r="G159" s="19"/>
      <c r="H159" s="17"/>
      <c r="I159" s="17"/>
      <c r="J159" s="20" t="str">
        <f aca="true">IF(G159="","",IF(OR(H159="Concluído",H159="Cancelado"),"",G159-TODAY()))</f>
        <v/>
      </c>
      <c r="K159" s="18"/>
    </row>
    <row r="160" customFormat="false" ht="24" hidden="false" customHeight="true" outlineLevel="0" collapsed="false">
      <c r="A160" s="17" t="str">
        <f aca="false">IF(C160="","",MAX($A$5:A159)+1)</f>
        <v/>
      </c>
      <c r="B160" s="18"/>
      <c r="C160" s="18"/>
      <c r="D160" s="18"/>
      <c r="E160" s="18"/>
      <c r="F160" s="19" t="str">
        <f aca="true">IF(C160="","",IF(F159="",TODAY(),F160))</f>
        <v/>
      </c>
      <c r="G160" s="19"/>
      <c r="H160" s="17"/>
      <c r="I160" s="17"/>
      <c r="J160" s="20" t="str">
        <f aca="true">IF(G160="","",IF(OR(H160="Concluído",H160="Cancelado"),"",G160-TODAY()))</f>
        <v/>
      </c>
      <c r="K160" s="18"/>
    </row>
    <row r="161" customFormat="false" ht="24" hidden="false" customHeight="true" outlineLevel="0" collapsed="false">
      <c r="A161" s="17" t="str">
        <f aca="false">IF(C161="","",MAX($A$5:A160)+1)</f>
        <v/>
      </c>
      <c r="B161" s="18"/>
      <c r="C161" s="18"/>
      <c r="D161" s="18"/>
      <c r="E161" s="18"/>
      <c r="F161" s="19" t="str">
        <f aca="true">IF(C161="","",IF(F160="",TODAY(),F161))</f>
        <v/>
      </c>
      <c r="G161" s="19"/>
      <c r="H161" s="17"/>
      <c r="I161" s="17"/>
      <c r="J161" s="20" t="str">
        <f aca="true">IF(G161="","",IF(OR(H161="Concluído",H161="Cancelado"),"",G161-TODAY()))</f>
        <v/>
      </c>
      <c r="K161" s="18"/>
    </row>
    <row r="162" customFormat="false" ht="24" hidden="false" customHeight="true" outlineLevel="0" collapsed="false">
      <c r="A162" s="17" t="str">
        <f aca="false">IF(C162="","",MAX($A$5:A161)+1)</f>
        <v/>
      </c>
      <c r="B162" s="18"/>
      <c r="C162" s="18"/>
      <c r="D162" s="18"/>
      <c r="E162" s="18"/>
      <c r="F162" s="19" t="str">
        <f aca="true">IF(C162="","",IF(F161="",TODAY(),F162))</f>
        <v/>
      </c>
      <c r="G162" s="19"/>
      <c r="H162" s="17"/>
      <c r="I162" s="17"/>
      <c r="J162" s="20" t="str">
        <f aca="true">IF(G162="","",IF(OR(H162="Concluído",H162="Cancelado"),"",G162-TODAY()))</f>
        <v/>
      </c>
      <c r="K162" s="18"/>
    </row>
    <row r="163" customFormat="false" ht="24" hidden="false" customHeight="true" outlineLevel="0" collapsed="false">
      <c r="A163" s="17" t="str">
        <f aca="false">IF(C163="","",MAX($A$5:A162)+1)</f>
        <v/>
      </c>
      <c r="B163" s="18"/>
      <c r="C163" s="18"/>
      <c r="D163" s="18"/>
      <c r="E163" s="18"/>
      <c r="F163" s="19" t="str">
        <f aca="true">IF(C163="","",IF(F162="",TODAY(),F163))</f>
        <v/>
      </c>
      <c r="G163" s="19"/>
      <c r="H163" s="17"/>
      <c r="I163" s="17"/>
      <c r="J163" s="20" t="str">
        <f aca="true">IF(G163="","",IF(OR(H163="Concluído",H163="Cancelado"),"",G163-TODAY()))</f>
        <v/>
      </c>
      <c r="K163" s="18"/>
    </row>
    <row r="164" customFormat="false" ht="24" hidden="false" customHeight="true" outlineLevel="0" collapsed="false">
      <c r="A164" s="17" t="str">
        <f aca="false">IF(C164="","",MAX($A$5:A163)+1)</f>
        <v/>
      </c>
      <c r="B164" s="18"/>
      <c r="C164" s="18"/>
      <c r="D164" s="18"/>
      <c r="E164" s="18"/>
      <c r="F164" s="19" t="str">
        <f aca="true">IF(C164="","",IF(F163="",TODAY(),F164))</f>
        <v/>
      </c>
      <c r="G164" s="19"/>
      <c r="H164" s="17"/>
      <c r="I164" s="17"/>
      <c r="J164" s="20" t="str">
        <f aca="true">IF(G164="","",IF(OR(H164="Concluído",H164="Cancelado"),"",G164-TODAY()))</f>
        <v/>
      </c>
      <c r="K164" s="18"/>
    </row>
    <row r="165" customFormat="false" ht="24" hidden="false" customHeight="true" outlineLevel="0" collapsed="false">
      <c r="A165" s="17" t="str">
        <f aca="false">IF(C165="","",MAX($A$5:A164)+1)</f>
        <v/>
      </c>
      <c r="B165" s="18"/>
      <c r="C165" s="18"/>
      <c r="D165" s="18"/>
      <c r="E165" s="18"/>
      <c r="F165" s="19" t="str">
        <f aca="true">IF(C165="","",IF(F164="",TODAY(),F165))</f>
        <v/>
      </c>
      <c r="G165" s="19"/>
      <c r="H165" s="17"/>
      <c r="I165" s="17"/>
      <c r="J165" s="20" t="str">
        <f aca="true">IF(G165="","",IF(OR(H165="Concluído",H165="Cancelado"),"",G165-TODAY()))</f>
        <v/>
      </c>
      <c r="K165" s="18"/>
    </row>
    <row r="166" customFormat="false" ht="24" hidden="false" customHeight="true" outlineLevel="0" collapsed="false">
      <c r="A166" s="17" t="str">
        <f aca="false">IF(C166="","",MAX($A$5:A165)+1)</f>
        <v/>
      </c>
      <c r="B166" s="18"/>
      <c r="C166" s="18"/>
      <c r="D166" s="18"/>
      <c r="E166" s="18"/>
      <c r="F166" s="19" t="str">
        <f aca="true">IF(C166="","",IF(F165="",TODAY(),F166))</f>
        <v/>
      </c>
      <c r="G166" s="19"/>
      <c r="H166" s="17"/>
      <c r="I166" s="17"/>
      <c r="J166" s="20" t="str">
        <f aca="true">IF(G166="","",IF(OR(H166="Concluído",H166="Cancelado"),"",G166-TODAY()))</f>
        <v/>
      </c>
      <c r="K166" s="18"/>
    </row>
    <row r="167" customFormat="false" ht="24" hidden="false" customHeight="true" outlineLevel="0" collapsed="false">
      <c r="A167" s="17" t="str">
        <f aca="false">IF(C167="","",MAX($A$5:A166)+1)</f>
        <v/>
      </c>
      <c r="B167" s="18"/>
      <c r="C167" s="18"/>
      <c r="D167" s="18"/>
      <c r="E167" s="18"/>
      <c r="F167" s="19" t="str">
        <f aca="true">IF(C167="","",IF(F166="",TODAY(),F167))</f>
        <v/>
      </c>
      <c r="G167" s="19"/>
      <c r="H167" s="17"/>
      <c r="I167" s="17"/>
      <c r="J167" s="20" t="str">
        <f aca="true">IF(G167="","",IF(OR(H167="Concluído",H167="Cancelado"),"",G167-TODAY()))</f>
        <v/>
      </c>
      <c r="K167" s="18"/>
    </row>
    <row r="168" customFormat="false" ht="24" hidden="false" customHeight="true" outlineLevel="0" collapsed="false">
      <c r="A168" s="17" t="str">
        <f aca="false">IF(C168="","",MAX($A$5:A167)+1)</f>
        <v/>
      </c>
      <c r="B168" s="18"/>
      <c r="C168" s="18"/>
      <c r="D168" s="18"/>
      <c r="E168" s="18"/>
      <c r="F168" s="19" t="str">
        <f aca="true">IF(C168="","",IF(F167="",TODAY(),F168))</f>
        <v/>
      </c>
      <c r="G168" s="19"/>
      <c r="H168" s="17"/>
      <c r="I168" s="17"/>
      <c r="J168" s="20" t="str">
        <f aca="true">IF(G168="","",IF(OR(H168="Concluído",H168="Cancelado"),"",G168-TODAY()))</f>
        <v/>
      </c>
      <c r="K168" s="18"/>
    </row>
    <row r="169" customFormat="false" ht="24" hidden="false" customHeight="true" outlineLevel="0" collapsed="false">
      <c r="A169" s="17" t="str">
        <f aca="false">IF(C169="","",MAX($A$5:A168)+1)</f>
        <v/>
      </c>
      <c r="B169" s="18"/>
      <c r="C169" s="18"/>
      <c r="D169" s="18"/>
      <c r="E169" s="18"/>
      <c r="F169" s="19" t="str">
        <f aca="true">IF(C169="","",IF(F168="",TODAY(),F169))</f>
        <v/>
      </c>
      <c r="G169" s="19"/>
      <c r="H169" s="17"/>
      <c r="I169" s="17"/>
      <c r="J169" s="20" t="str">
        <f aca="true">IF(G169="","",IF(OR(H169="Concluído",H169="Cancelado"),"",G169-TODAY()))</f>
        <v/>
      </c>
      <c r="K169" s="18"/>
    </row>
    <row r="170" customFormat="false" ht="24" hidden="false" customHeight="true" outlineLevel="0" collapsed="false">
      <c r="A170" s="17" t="str">
        <f aca="false">IF(C170="","",MAX($A$5:A169)+1)</f>
        <v/>
      </c>
      <c r="B170" s="18"/>
      <c r="C170" s="18"/>
      <c r="D170" s="18"/>
      <c r="E170" s="18"/>
      <c r="F170" s="19" t="str">
        <f aca="true">IF(C170="","",IF(F169="",TODAY(),F170))</f>
        <v/>
      </c>
      <c r="G170" s="19"/>
      <c r="H170" s="17"/>
      <c r="I170" s="17"/>
      <c r="J170" s="20" t="str">
        <f aca="true">IF(G170="","",IF(OR(H170="Concluído",H170="Cancelado"),"",G170-TODAY()))</f>
        <v/>
      </c>
      <c r="K170" s="18"/>
    </row>
    <row r="171" customFormat="false" ht="24" hidden="false" customHeight="true" outlineLevel="0" collapsed="false">
      <c r="A171" s="17" t="str">
        <f aca="false">IF(C171="","",MAX($A$5:A170)+1)</f>
        <v/>
      </c>
      <c r="B171" s="18"/>
      <c r="C171" s="18"/>
      <c r="D171" s="18"/>
      <c r="E171" s="18"/>
      <c r="F171" s="19" t="str">
        <f aca="true">IF(C171="","",IF(F170="",TODAY(),F171))</f>
        <v/>
      </c>
      <c r="G171" s="19"/>
      <c r="H171" s="17"/>
      <c r="I171" s="17"/>
      <c r="J171" s="20" t="str">
        <f aca="true">IF(G171="","",IF(OR(H171="Concluído",H171="Cancelado"),"",G171-TODAY()))</f>
        <v/>
      </c>
      <c r="K171" s="18"/>
    </row>
    <row r="172" customFormat="false" ht="24" hidden="false" customHeight="true" outlineLevel="0" collapsed="false">
      <c r="A172" s="17" t="str">
        <f aca="false">IF(C172="","",MAX($A$5:A171)+1)</f>
        <v/>
      </c>
      <c r="B172" s="18"/>
      <c r="C172" s="18"/>
      <c r="D172" s="18"/>
      <c r="E172" s="18"/>
      <c r="F172" s="19" t="str">
        <f aca="true">IF(C172="","",IF(F171="",TODAY(),F172))</f>
        <v/>
      </c>
      <c r="G172" s="19"/>
      <c r="H172" s="17"/>
      <c r="I172" s="17"/>
      <c r="J172" s="20" t="str">
        <f aca="true">IF(G172="","",IF(OR(H172="Concluído",H172="Cancelado"),"",G172-TODAY()))</f>
        <v/>
      </c>
      <c r="K172" s="18"/>
    </row>
    <row r="173" customFormat="false" ht="24" hidden="false" customHeight="true" outlineLevel="0" collapsed="false">
      <c r="A173" s="17" t="str">
        <f aca="false">IF(C173="","",MAX($A$5:A172)+1)</f>
        <v/>
      </c>
      <c r="B173" s="18"/>
      <c r="C173" s="18"/>
      <c r="D173" s="18"/>
      <c r="E173" s="18"/>
      <c r="F173" s="19" t="str">
        <f aca="true">IF(C173="","",IF(F172="",TODAY(),F173))</f>
        <v/>
      </c>
      <c r="G173" s="19"/>
      <c r="H173" s="17"/>
      <c r="I173" s="17"/>
      <c r="J173" s="20" t="str">
        <f aca="true">IF(G173="","",IF(OR(H173="Concluído",H173="Cancelado"),"",G173-TODAY()))</f>
        <v/>
      </c>
      <c r="K173" s="18"/>
    </row>
    <row r="174" customFormat="false" ht="24" hidden="false" customHeight="true" outlineLevel="0" collapsed="false">
      <c r="A174" s="17" t="str">
        <f aca="false">IF(C174="","",MAX($A$5:A173)+1)</f>
        <v/>
      </c>
      <c r="B174" s="18"/>
      <c r="C174" s="18"/>
      <c r="D174" s="18"/>
      <c r="E174" s="18"/>
      <c r="F174" s="19" t="str">
        <f aca="true">IF(C174="","",IF(F173="",TODAY(),F174))</f>
        <v/>
      </c>
      <c r="G174" s="19"/>
      <c r="H174" s="17"/>
      <c r="I174" s="17"/>
      <c r="J174" s="20" t="str">
        <f aca="true">IF(G174="","",IF(OR(H174="Concluído",H174="Cancelado"),"",G174-TODAY()))</f>
        <v/>
      </c>
      <c r="K174" s="18"/>
    </row>
    <row r="175" customFormat="false" ht="24" hidden="false" customHeight="true" outlineLevel="0" collapsed="false">
      <c r="A175" s="17" t="str">
        <f aca="false">IF(C175="","",MAX($A$5:A174)+1)</f>
        <v/>
      </c>
      <c r="B175" s="18"/>
      <c r="C175" s="18"/>
      <c r="D175" s="18"/>
      <c r="E175" s="18"/>
      <c r="F175" s="19" t="str">
        <f aca="true">IF(C175="","",IF(F174="",TODAY(),F175))</f>
        <v/>
      </c>
      <c r="G175" s="19"/>
      <c r="H175" s="17"/>
      <c r="I175" s="17"/>
      <c r="J175" s="20" t="str">
        <f aca="true">IF(G175="","",IF(OR(H175="Concluído",H175="Cancelado"),"",G175-TODAY()))</f>
        <v/>
      </c>
      <c r="K175" s="18"/>
    </row>
    <row r="176" customFormat="false" ht="24" hidden="false" customHeight="true" outlineLevel="0" collapsed="false">
      <c r="A176" s="17" t="str">
        <f aca="false">IF(C176="","",MAX($A$5:A175)+1)</f>
        <v/>
      </c>
      <c r="B176" s="18"/>
      <c r="C176" s="18"/>
      <c r="D176" s="18"/>
      <c r="E176" s="18"/>
      <c r="F176" s="19" t="str">
        <f aca="true">IF(C176="","",IF(F175="",TODAY(),F176))</f>
        <v/>
      </c>
      <c r="G176" s="19"/>
      <c r="H176" s="17"/>
      <c r="I176" s="17"/>
      <c r="J176" s="20" t="str">
        <f aca="true">IF(G176="","",IF(OR(H176="Concluído",H176="Cancelado"),"",G176-TODAY()))</f>
        <v/>
      </c>
      <c r="K176" s="18"/>
    </row>
    <row r="177" customFormat="false" ht="24" hidden="false" customHeight="true" outlineLevel="0" collapsed="false">
      <c r="A177" s="17" t="str">
        <f aca="false">IF(C177="","",MAX($A$5:A176)+1)</f>
        <v/>
      </c>
      <c r="B177" s="18"/>
      <c r="C177" s="18"/>
      <c r="D177" s="18"/>
      <c r="E177" s="18"/>
      <c r="F177" s="19" t="str">
        <f aca="true">IF(C177="","",IF(F176="",TODAY(),F177))</f>
        <v/>
      </c>
      <c r="G177" s="19"/>
      <c r="H177" s="17"/>
      <c r="I177" s="17"/>
      <c r="J177" s="20" t="str">
        <f aca="true">IF(G177="","",IF(OR(H177="Concluído",H177="Cancelado"),"",G177-TODAY()))</f>
        <v/>
      </c>
      <c r="K177" s="18"/>
    </row>
    <row r="178" customFormat="false" ht="24" hidden="false" customHeight="true" outlineLevel="0" collapsed="false">
      <c r="A178" s="17" t="str">
        <f aca="false">IF(C178="","",MAX($A$5:A177)+1)</f>
        <v/>
      </c>
      <c r="B178" s="18"/>
      <c r="C178" s="18"/>
      <c r="D178" s="18"/>
      <c r="E178" s="18"/>
      <c r="F178" s="19" t="str">
        <f aca="true">IF(C178="","",IF(F177="",TODAY(),F178))</f>
        <v/>
      </c>
      <c r="G178" s="19"/>
      <c r="H178" s="17"/>
      <c r="I178" s="17"/>
      <c r="J178" s="20" t="str">
        <f aca="true">IF(G178="","",IF(OR(H178="Concluído",H178="Cancelado"),"",G178-TODAY()))</f>
        <v/>
      </c>
      <c r="K178" s="18"/>
    </row>
    <row r="179" customFormat="false" ht="24" hidden="false" customHeight="true" outlineLevel="0" collapsed="false">
      <c r="A179" s="17" t="str">
        <f aca="false">IF(C179="","",MAX($A$5:A178)+1)</f>
        <v/>
      </c>
      <c r="B179" s="18"/>
      <c r="C179" s="18"/>
      <c r="D179" s="18"/>
      <c r="E179" s="18"/>
      <c r="F179" s="19" t="str">
        <f aca="true">IF(C179="","",IF(F178="",TODAY(),F179))</f>
        <v/>
      </c>
      <c r="G179" s="19"/>
      <c r="H179" s="17"/>
      <c r="I179" s="17"/>
      <c r="J179" s="20" t="str">
        <f aca="true">IF(G179="","",IF(OR(H179="Concluído",H179="Cancelado"),"",G179-TODAY()))</f>
        <v/>
      </c>
      <c r="K179" s="18"/>
    </row>
    <row r="180" customFormat="false" ht="24" hidden="false" customHeight="true" outlineLevel="0" collapsed="false">
      <c r="A180" s="17" t="str">
        <f aca="false">IF(C180="","",MAX($A$5:A179)+1)</f>
        <v/>
      </c>
      <c r="B180" s="18"/>
      <c r="C180" s="18"/>
      <c r="D180" s="18"/>
      <c r="E180" s="18"/>
      <c r="F180" s="19" t="str">
        <f aca="true">IF(C180="","",IF(F179="",TODAY(),F180))</f>
        <v/>
      </c>
      <c r="G180" s="19"/>
      <c r="H180" s="17"/>
      <c r="I180" s="17"/>
      <c r="J180" s="20" t="str">
        <f aca="true">IF(G180="","",IF(OR(H180="Concluído",H180="Cancelado"),"",G180-TODAY()))</f>
        <v/>
      </c>
      <c r="K180" s="18"/>
    </row>
    <row r="181" customFormat="false" ht="24" hidden="false" customHeight="true" outlineLevel="0" collapsed="false">
      <c r="A181" s="17" t="str">
        <f aca="false">IF(C181="","",MAX($A$5:A180)+1)</f>
        <v/>
      </c>
      <c r="B181" s="18"/>
      <c r="C181" s="18"/>
      <c r="D181" s="18"/>
      <c r="E181" s="18"/>
      <c r="F181" s="19" t="str">
        <f aca="true">IF(C181="","",IF(F180="",TODAY(),F181))</f>
        <v/>
      </c>
      <c r="G181" s="19"/>
      <c r="H181" s="17"/>
      <c r="I181" s="17"/>
      <c r="J181" s="20" t="str">
        <f aca="true">IF(G181="","",IF(OR(H181="Concluído",H181="Cancelado"),"",G181-TODAY()))</f>
        <v/>
      </c>
      <c r="K181" s="18"/>
    </row>
    <row r="182" customFormat="false" ht="24" hidden="false" customHeight="true" outlineLevel="0" collapsed="false">
      <c r="A182" s="17" t="str">
        <f aca="false">IF(C182="","",MAX($A$5:A181)+1)</f>
        <v/>
      </c>
      <c r="B182" s="18"/>
      <c r="C182" s="18"/>
      <c r="D182" s="18"/>
      <c r="E182" s="18"/>
      <c r="F182" s="19" t="str">
        <f aca="true">IF(C182="","",IF(F181="",TODAY(),F182))</f>
        <v/>
      </c>
      <c r="G182" s="19"/>
      <c r="H182" s="17"/>
      <c r="I182" s="17"/>
      <c r="J182" s="20" t="str">
        <f aca="true">IF(G182="","",IF(OR(H182="Concluído",H182="Cancelado"),"",G182-TODAY()))</f>
        <v/>
      </c>
      <c r="K182" s="18"/>
    </row>
    <row r="183" customFormat="false" ht="24" hidden="false" customHeight="true" outlineLevel="0" collapsed="false">
      <c r="A183" s="17" t="str">
        <f aca="false">IF(C183="","",MAX($A$5:A182)+1)</f>
        <v/>
      </c>
      <c r="B183" s="18"/>
      <c r="C183" s="18"/>
      <c r="D183" s="18"/>
      <c r="E183" s="18"/>
      <c r="F183" s="19" t="str">
        <f aca="true">IF(C183="","",IF(F182="",TODAY(),F183))</f>
        <v/>
      </c>
      <c r="G183" s="19"/>
      <c r="H183" s="17"/>
      <c r="I183" s="17"/>
      <c r="J183" s="20" t="str">
        <f aca="true">IF(G183="","",IF(OR(H183="Concluído",H183="Cancelado"),"",G183-TODAY()))</f>
        <v/>
      </c>
      <c r="K183" s="18"/>
    </row>
    <row r="184" customFormat="false" ht="24" hidden="false" customHeight="true" outlineLevel="0" collapsed="false">
      <c r="A184" s="17" t="str">
        <f aca="false">IF(C184="","",MAX($A$5:A183)+1)</f>
        <v/>
      </c>
      <c r="B184" s="18"/>
      <c r="C184" s="18"/>
      <c r="D184" s="18"/>
      <c r="E184" s="18"/>
      <c r="F184" s="19" t="str">
        <f aca="true">IF(C184="","",IF(F183="",TODAY(),F184))</f>
        <v/>
      </c>
      <c r="G184" s="19"/>
      <c r="H184" s="17"/>
      <c r="I184" s="17"/>
      <c r="J184" s="20" t="str">
        <f aca="true">IF(G184="","",IF(OR(H184="Concluído",H184="Cancelado"),"",G184-TODAY()))</f>
        <v/>
      </c>
      <c r="K184" s="18"/>
    </row>
    <row r="185" customFormat="false" ht="24" hidden="false" customHeight="true" outlineLevel="0" collapsed="false">
      <c r="A185" s="17" t="str">
        <f aca="false">IF(C185="","",MAX($A$5:A184)+1)</f>
        <v/>
      </c>
      <c r="B185" s="18"/>
      <c r="C185" s="18"/>
      <c r="D185" s="18"/>
      <c r="E185" s="18"/>
      <c r="F185" s="19" t="str">
        <f aca="true">IF(C185="","",IF(F184="",TODAY(),F185))</f>
        <v/>
      </c>
      <c r="G185" s="19"/>
      <c r="H185" s="17"/>
      <c r="I185" s="17"/>
      <c r="J185" s="20" t="str">
        <f aca="true">IF(G185="","",IF(OR(H185="Concluído",H185="Cancelado"),"",G185-TODAY()))</f>
        <v/>
      </c>
      <c r="K185" s="18"/>
    </row>
    <row r="186" customFormat="false" ht="24" hidden="false" customHeight="true" outlineLevel="0" collapsed="false">
      <c r="A186" s="17" t="str">
        <f aca="false">IF(C186="","",MAX($A$5:A185)+1)</f>
        <v/>
      </c>
      <c r="B186" s="18"/>
      <c r="C186" s="18"/>
      <c r="D186" s="18"/>
      <c r="E186" s="18"/>
      <c r="F186" s="19" t="str">
        <f aca="true">IF(C186="","",IF(F185="",TODAY(),F186))</f>
        <v/>
      </c>
      <c r="G186" s="19"/>
      <c r="H186" s="17"/>
      <c r="I186" s="17"/>
      <c r="J186" s="20" t="str">
        <f aca="true">IF(G186="","",IF(OR(H186="Concluído",H186="Cancelado"),"",G186-TODAY()))</f>
        <v/>
      </c>
      <c r="K186" s="18"/>
    </row>
    <row r="187" customFormat="false" ht="24" hidden="false" customHeight="true" outlineLevel="0" collapsed="false">
      <c r="A187" s="17" t="str">
        <f aca="false">IF(C187="","",MAX($A$5:A186)+1)</f>
        <v/>
      </c>
      <c r="B187" s="18"/>
      <c r="C187" s="18"/>
      <c r="D187" s="18"/>
      <c r="E187" s="18"/>
      <c r="F187" s="19" t="str">
        <f aca="true">IF(C187="","",IF(F186="",TODAY(),F187))</f>
        <v/>
      </c>
      <c r="G187" s="19"/>
      <c r="H187" s="17"/>
      <c r="I187" s="17"/>
      <c r="J187" s="20" t="str">
        <f aca="true">IF(G187="","",IF(OR(H187="Concluído",H187="Cancelado"),"",G187-TODAY()))</f>
        <v/>
      </c>
      <c r="K187" s="18"/>
    </row>
    <row r="188" customFormat="false" ht="24" hidden="false" customHeight="true" outlineLevel="0" collapsed="false">
      <c r="A188" s="17" t="str">
        <f aca="false">IF(C188="","",MAX($A$5:A187)+1)</f>
        <v/>
      </c>
      <c r="B188" s="18"/>
      <c r="C188" s="18"/>
      <c r="D188" s="18"/>
      <c r="E188" s="18"/>
      <c r="F188" s="19" t="str">
        <f aca="true">IF(C188="","",IF(F187="",TODAY(),F188))</f>
        <v/>
      </c>
      <c r="G188" s="19"/>
      <c r="H188" s="17"/>
      <c r="I188" s="17"/>
      <c r="J188" s="20" t="str">
        <f aca="true">IF(G188="","",IF(OR(H188="Concluído",H188="Cancelado"),"",G188-TODAY()))</f>
        <v/>
      </c>
      <c r="K188" s="18"/>
    </row>
    <row r="189" customFormat="false" ht="24" hidden="false" customHeight="true" outlineLevel="0" collapsed="false">
      <c r="A189" s="17" t="str">
        <f aca="false">IF(C189="","",MAX($A$5:A188)+1)</f>
        <v/>
      </c>
      <c r="B189" s="18"/>
      <c r="C189" s="18"/>
      <c r="D189" s="18"/>
      <c r="E189" s="18"/>
      <c r="F189" s="19" t="str">
        <f aca="true">IF(C189="","",IF(F188="",TODAY(),F189))</f>
        <v/>
      </c>
      <c r="G189" s="19"/>
      <c r="H189" s="17"/>
      <c r="I189" s="17"/>
      <c r="J189" s="20" t="str">
        <f aca="true">IF(G189="","",IF(OR(H189="Concluído",H189="Cancelado"),"",G189-TODAY()))</f>
        <v/>
      </c>
      <c r="K189" s="18"/>
    </row>
    <row r="190" customFormat="false" ht="24" hidden="false" customHeight="true" outlineLevel="0" collapsed="false">
      <c r="A190" s="17" t="str">
        <f aca="false">IF(C190="","",MAX($A$5:A189)+1)</f>
        <v/>
      </c>
      <c r="B190" s="18"/>
      <c r="C190" s="18"/>
      <c r="D190" s="18"/>
      <c r="E190" s="18"/>
      <c r="F190" s="19" t="str">
        <f aca="true">IF(C190="","",IF(F189="",TODAY(),F190))</f>
        <v/>
      </c>
      <c r="G190" s="19"/>
      <c r="H190" s="17"/>
      <c r="I190" s="17"/>
      <c r="J190" s="20" t="str">
        <f aca="true">IF(G190="","",IF(OR(H190="Concluído",H190="Cancelado"),"",G190-TODAY()))</f>
        <v/>
      </c>
      <c r="K190" s="18"/>
    </row>
    <row r="191" customFormat="false" ht="24" hidden="false" customHeight="true" outlineLevel="0" collapsed="false">
      <c r="A191" s="17" t="str">
        <f aca="false">IF(C191="","",MAX($A$5:A190)+1)</f>
        <v/>
      </c>
      <c r="B191" s="18"/>
      <c r="C191" s="18"/>
      <c r="D191" s="18"/>
      <c r="E191" s="18"/>
      <c r="F191" s="19" t="str">
        <f aca="true">IF(C191="","",IF(F190="",TODAY(),F191))</f>
        <v/>
      </c>
      <c r="G191" s="19"/>
      <c r="H191" s="17"/>
      <c r="I191" s="17"/>
      <c r="J191" s="20" t="str">
        <f aca="true">IF(G191="","",IF(OR(H191="Concluído",H191="Cancelado"),"",G191-TODAY()))</f>
        <v/>
      </c>
      <c r="K191" s="18"/>
    </row>
    <row r="192" customFormat="false" ht="24" hidden="false" customHeight="true" outlineLevel="0" collapsed="false">
      <c r="A192" s="17" t="str">
        <f aca="false">IF(C192="","",MAX($A$5:A191)+1)</f>
        <v/>
      </c>
      <c r="B192" s="18"/>
      <c r="C192" s="18"/>
      <c r="D192" s="18"/>
      <c r="E192" s="18"/>
      <c r="F192" s="19" t="str">
        <f aca="true">IF(C192="","",IF(F191="",TODAY(),F192))</f>
        <v/>
      </c>
      <c r="G192" s="19"/>
      <c r="H192" s="17"/>
      <c r="I192" s="17"/>
      <c r="J192" s="20" t="str">
        <f aca="true">IF(G192="","",IF(OR(H192="Concluído",H192="Cancelado"),"",G192-TODAY()))</f>
        <v/>
      </c>
      <c r="K192" s="18"/>
    </row>
    <row r="193" customFormat="false" ht="24" hidden="false" customHeight="true" outlineLevel="0" collapsed="false">
      <c r="A193" s="17" t="str">
        <f aca="false">IF(C193="","",MAX($A$5:A192)+1)</f>
        <v/>
      </c>
      <c r="B193" s="18"/>
      <c r="C193" s="18"/>
      <c r="D193" s="18"/>
      <c r="E193" s="18"/>
      <c r="F193" s="19" t="str">
        <f aca="true">IF(C193="","",IF(F192="",TODAY(),F193))</f>
        <v/>
      </c>
      <c r="G193" s="19"/>
      <c r="H193" s="17"/>
      <c r="I193" s="17"/>
      <c r="J193" s="20" t="str">
        <f aca="true">IF(G193="","",IF(OR(H193="Concluído",H193="Cancelado"),"",G193-TODAY()))</f>
        <v/>
      </c>
      <c r="K193" s="18"/>
    </row>
    <row r="194" customFormat="false" ht="24" hidden="false" customHeight="true" outlineLevel="0" collapsed="false">
      <c r="A194" s="17" t="str">
        <f aca="false">IF(C194="","",MAX($A$5:A193)+1)</f>
        <v/>
      </c>
      <c r="B194" s="18"/>
      <c r="C194" s="18"/>
      <c r="D194" s="18"/>
      <c r="E194" s="18"/>
      <c r="F194" s="19" t="str">
        <f aca="true">IF(C194="","",IF(F193="",TODAY(),F194))</f>
        <v/>
      </c>
      <c r="G194" s="19"/>
      <c r="H194" s="17"/>
      <c r="I194" s="17"/>
      <c r="J194" s="20" t="str">
        <f aca="true">IF(G194="","",IF(OR(H194="Concluído",H194="Cancelado"),"",G194-TODAY()))</f>
        <v/>
      </c>
      <c r="K194" s="18"/>
    </row>
    <row r="195" customFormat="false" ht="24" hidden="false" customHeight="true" outlineLevel="0" collapsed="false">
      <c r="A195" s="17" t="str">
        <f aca="false">IF(C195="","",MAX($A$5:A194)+1)</f>
        <v/>
      </c>
      <c r="B195" s="18"/>
      <c r="C195" s="18"/>
      <c r="D195" s="18"/>
      <c r="E195" s="18"/>
      <c r="F195" s="19" t="str">
        <f aca="true">IF(C195="","",IF(F194="",TODAY(),F195))</f>
        <v/>
      </c>
      <c r="G195" s="19"/>
      <c r="H195" s="17"/>
      <c r="I195" s="17"/>
      <c r="J195" s="20" t="str">
        <f aca="true">IF(G195="","",IF(OR(H195="Concluído",H195="Cancelado"),"",G195-TODAY()))</f>
        <v/>
      </c>
      <c r="K195" s="18"/>
    </row>
    <row r="196" customFormat="false" ht="24" hidden="false" customHeight="true" outlineLevel="0" collapsed="false">
      <c r="A196" s="17" t="str">
        <f aca="false">IF(C196="","",MAX($A$5:A195)+1)</f>
        <v/>
      </c>
      <c r="B196" s="18"/>
      <c r="C196" s="18"/>
      <c r="D196" s="18"/>
      <c r="E196" s="18"/>
      <c r="F196" s="19" t="str">
        <f aca="true">IF(C196="","",IF(F195="",TODAY(),F196))</f>
        <v/>
      </c>
      <c r="G196" s="19"/>
      <c r="H196" s="17"/>
      <c r="I196" s="17"/>
      <c r="J196" s="20" t="str">
        <f aca="true">IF(G196="","",IF(OR(H196="Concluído",H196="Cancelado"),"",G196-TODAY()))</f>
        <v/>
      </c>
      <c r="K196" s="18"/>
    </row>
    <row r="197" customFormat="false" ht="24" hidden="false" customHeight="true" outlineLevel="0" collapsed="false">
      <c r="A197" s="17" t="str">
        <f aca="false">IF(C197="","",MAX($A$5:A196)+1)</f>
        <v/>
      </c>
      <c r="B197" s="18"/>
      <c r="C197" s="18"/>
      <c r="D197" s="18"/>
      <c r="E197" s="18"/>
      <c r="F197" s="19" t="str">
        <f aca="true">IF(C197="","",IF(F196="",TODAY(),F197))</f>
        <v/>
      </c>
      <c r="G197" s="19"/>
      <c r="H197" s="17"/>
      <c r="I197" s="17"/>
      <c r="J197" s="20" t="str">
        <f aca="true">IF(G197="","",IF(OR(H197="Concluído",H197="Cancelado"),"",G197-TODAY()))</f>
        <v/>
      </c>
      <c r="K197" s="18"/>
    </row>
    <row r="198" customFormat="false" ht="24" hidden="false" customHeight="true" outlineLevel="0" collapsed="false">
      <c r="A198" s="17" t="str">
        <f aca="false">IF(C198="","",MAX($A$5:A197)+1)</f>
        <v/>
      </c>
      <c r="B198" s="18"/>
      <c r="C198" s="18"/>
      <c r="D198" s="18"/>
      <c r="E198" s="18"/>
      <c r="F198" s="19" t="str">
        <f aca="true">IF(C198="","",IF(F197="",TODAY(),F198))</f>
        <v/>
      </c>
      <c r="G198" s="19"/>
      <c r="H198" s="17"/>
      <c r="I198" s="17"/>
      <c r="J198" s="20" t="str">
        <f aca="true">IF(G198="","",IF(OR(H198="Concluído",H198="Cancelado"),"",G198-TODAY()))</f>
        <v/>
      </c>
      <c r="K198" s="18"/>
    </row>
    <row r="199" customFormat="false" ht="24" hidden="false" customHeight="true" outlineLevel="0" collapsed="false">
      <c r="A199" s="17" t="str">
        <f aca="false">IF(C199="","",MAX($A$5:A198)+1)</f>
        <v/>
      </c>
      <c r="B199" s="18"/>
      <c r="C199" s="18"/>
      <c r="D199" s="18"/>
      <c r="E199" s="18"/>
      <c r="F199" s="19" t="str">
        <f aca="true">IF(C199="","",IF(F198="",TODAY(),F199))</f>
        <v/>
      </c>
      <c r="G199" s="19"/>
      <c r="H199" s="17"/>
      <c r="I199" s="17"/>
      <c r="J199" s="20" t="str">
        <f aca="true">IF(G199="","",IF(OR(H199="Concluído",H199="Cancelado"),"",G199-TODAY()))</f>
        <v/>
      </c>
      <c r="K199" s="18"/>
    </row>
    <row r="200" customFormat="false" ht="24" hidden="false" customHeight="true" outlineLevel="0" collapsed="false">
      <c r="A200" s="17" t="str">
        <f aca="false">IF(C200="","",MAX($A$5:A199)+1)</f>
        <v/>
      </c>
      <c r="B200" s="18"/>
      <c r="C200" s="18"/>
      <c r="D200" s="18"/>
      <c r="E200" s="18"/>
      <c r="F200" s="19" t="str">
        <f aca="true">IF(C200="","",IF(F199="",TODAY(),F200))</f>
        <v/>
      </c>
      <c r="G200" s="19"/>
      <c r="H200" s="17"/>
      <c r="I200" s="17"/>
      <c r="J200" s="20" t="str">
        <f aca="true">IF(G200="","",IF(OR(H200="Concluído",H200="Cancelado"),"",G200-TODAY()))</f>
        <v/>
      </c>
      <c r="K200" s="18"/>
    </row>
    <row r="201" customFormat="false" ht="24" hidden="false" customHeight="true" outlineLevel="0" collapsed="false">
      <c r="A201" s="17" t="str">
        <f aca="false">IF(C201="","",MAX($A$5:A200)+1)</f>
        <v/>
      </c>
      <c r="B201" s="18"/>
      <c r="C201" s="18"/>
      <c r="D201" s="18"/>
      <c r="E201" s="18"/>
      <c r="F201" s="19" t="str">
        <f aca="true">IF(C201="","",IF(F200="",TODAY(),F201))</f>
        <v/>
      </c>
      <c r="G201" s="19"/>
      <c r="H201" s="17"/>
      <c r="I201" s="17"/>
      <c r="J201" s="20" t="str">
        <f aca="true">IF(G201="","",IF(OR(H201="Concluído",H201="Cancelado"),"",G201-TODAY()))</f>
        <v/>
      </c>
      <c r="K201" s="18"/>
    </row>
    <row r="202" customFormat="false" ht="24" hidden="false" customHeight="true" outlineLevel="0" collapsed="false">
      <c r="A202" s="17" t="str">
        <f aca="false">IF(C202="","",MAX($A$5:A201)+1)</f>
        <v/>
      </c>
      <c r="B202" s="18"/>
      <c r="C202" s="18"/>
      <c r="D202" s="18"/>
      <c r="E202" s="18"/>
      <c r="F202" s="19" t="str">
        <f aca="true">IF(C202="","",IF(F201="",TODAY(),F202))</f>
        <v/>
      </c>
      <c r="G202" s="19"/>
      <c r="H202" s="17"/>
      <c r="I202" s="17"/>
      <c r="J202" s="20" t="str">
        <f aca="true">IF(G202="","",IF(OR(H202="Concluído",H202="Cancelado"),"",G202-TODAY()))</f>
        <v/>
      </c>
      <c r="K202" s="18"/>
    </row>
    <row r="203" customFormat="false" ht="24" hidden="false" customHeight="true" outlineLevel="0" collapsed="false">
      <c r="A203" s="17" t="str">
        <f aca="false">IF(C203="","",MAX($A$5:A202)+1)</f>
        <v/>
      </c>
      <c r="B203" s="18"/>
      <c r="C203" s="18"/>
      <c r="D203" s="18"/>
      <c r="E203" s="18"/>
      <c r="F203" s="19" t="str">
        <f aca="true">IF(C203="","",IF(F202="",TODAY(),F203))</f>
        <v/>
      </c>
      <c r="G203" s="19"/>
      <c r="H203" s="17"/>
      <c r="I203" s="17"/>
      <c r="J203" s="20" t="str">
        <f aca="true">IF(G203="","",IF(OR(H203="Concluído",H203="Cancelado"),"",G203-TODAY()))</f>
        <v/>
      </c>
      <c r="K203" s="18"/>
    </row>
    <row r="204" customFormat="false" ht="24" hidden="false" customHeight="true" outlineLevel="0" collapsed="false">
      <c r="A204" s="17" t="str">
        <f aca="false">IF(C204="","",MAX($A$5:A203)+1)</f>
        <v/>
      </c>
      <c r="B204" s="18"/>
      <c r="C204" s="18"/>
      <c r="D204" s="18"/>
      <c r="E204" s="18"/>
      <c r="F204" s="19" t="str">
        <f aca="true">IF(C204="","",IF(F203="",TODAY(),F204))</f>
        <v/>
      </c>
      <c r="G204" s="19"/>
      <c r="H204" s="17"/>
      <c r="I204" s="17"/>
      <c r="J204" s="20" t="str">
        <f aca="true">IF(G204="","",IF(OR(H204="Concluído",H204="Cancelado"),"",G204-TODAY()))</f>
        <v/>
      </c>
      <c r="K204" s="18"/>
    </row>
  </sheetData>
  <autoFilter ref="A4:K204"/>
  <mergeCells count="2">
    <mergeCell ref="A1:K1"/>
    <mergeCell ref="A2:K2"/>
  </mergeCells>
  <conditionalFormatting sqref="H5:H204">
    <cfRule type="cellIs" priority="2" operator="equal" aboveAverage="0" equalAverage="0" bottom="0" percent="0" rank="0" text="" dxfId="14">
      <formula>"Aberto"</formula>
    </cfRule>
    <cfRule type="cellIs" priority="3" operator="equal" aboveAverage="0" equalAverage="0" bottom="0" percent="0" rank="0" text="" dxfId="15">
      <formula>"Em Andamento"</formula>
    </cfRule>
    <cfRule type="cellIs" priority="4" operator="equal" aboveAverage="0" equalAverage="0" bottom="0" percent="0" rank="0" text="" dxfId="16">
      <formula>"Aguardando"</formula>
    </cfRule>
    <cfRule type="cellIs" priority="5" operator="equal" aboveAverage="0" equalAverage="0" bottom="0" percent="0" rank="0" text="" dxfId="17">
      <formula>"Concluído"</formula>
    </cfRule>
    <cfRule type="cellIs" priority="6" operator="equal" aboveAverage="0" equalAverage="0" bottom="0" percent="0" rank="0" text="" dxfId="18">
      <formula>"Cancelado"</formula>
    </cfRule>
  </conditionalFormatting>
  <conditionalFormatting sqref="I5:I204">
    <cfRule type="cellIs" priority="7" operator="equal" aboveAverage="0" equalAverage="0" bottom="0" percent="0" rank="0" text="" dxfId="19">
      <formula>"Alta"</formula>
    </cfRule>
    <cfRule type="cellIs" priority="8" operator="equal" aboveAverage="0" equalAverage="0" bottom="0" percent="0" rank="0" text="" dxfId="15">
      <formula>"Média"</formula>
    </cfRule>
    <cfRule type="cellIs" priority="9" operator="equal" aboveAverage="0" equalAverage="0" bottom="0" percent="0" rank="0" text="" dxfId="17">
      <formula>"Baixa"</formula>
    </cfRule>
  </conditionalFormatting>
  <conditionalFormatting sqref="J5:J204">
    <cfRule type="cellIs" priority="10" operator="lessThan" aboveAverage="0" equalAverage="0" bottom="0" percent="0" rank="0" text="" dxfId="19">
      <formula>0</formula>
    </cfRule>
    <cfRule type="cellIs" priority="11" operator="between" aboveAverage="0" equalAverage="0" bottom="0" percent="0" rank="0" text="" dxfId="15">
      <formula>0</formula>
      <formula>2</formula>
    </cfRule>
    <cfRule type="cellIs" priority="12" operator="greaterThan" aboveAverage="0" equalAverage="0" bottom="0" percent="0" rank="0" text="" dxfId="17">
      <formula>2</formula>
    </cfRule>
  </conditionalFormatting>
  <conditionalFormatting sqref="A5:K204">
    <cfRule type="expression" priority="13" aboveAverage="0" equalAverage="0" bottom="0" percent="0" rank="0" text="" dxfId="20">
      <formula>$H5="Concluído"</formula>
    </cfRule>
  </conditionalFormatting>
  <dataValidations count="4">
    <dataValidation allowBlank="true" error="Selecione um módulo válido" errorStyle="stop" errorTitle="Módulo inválido" operator="between" showDropDown="false" showErrorMessage="false" showInputMessage="false" sqref="B5:B204" type="list">
      <formula1>lst_Categorias</formula1>
      <formula2>0</formula2>
    </dataValidation>
    <dataValidation allowBlank="true" errorStyle="stop" operator="between" showDropDown="false" showErrorMessage="false" showInputMessage="false" sqref="H5:H204" type="list">
      <formula1>lst_Status</formula1>
      <formula2>0</formula2>
    </dataValidation>
    <dataValidation allowBlank="true" errorStyle="stop" operator="between" showDropDown="false" showErrorMessage="false" showInputMessage="false" sqref="I5:I204" type="list">
      <formula1>lst_Prioridades</formula1>
      <formula2>0</formula2>
    </dataValidation>
    <dataValidation allowBlank="true" errorStyle="stop" operator="between" showDropDown="false" showErrorMessage="false" showInputMessage="false" sqref="E5:E204" type="list">
      <formula1>lst_Responsaveis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0" t="s">
        <v>32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</row>
    <row r="5" customFormat="false" ht="25.5" hidden="false" customHeight="true" outlineLevel="0" collapsed="false">
      <c r="A5" s="17" t="n">
        <v>1</v>
      </c>
      <c r="B5" s="18" t="s">
        <v>67</v>
      </c>
      <c r="C5" s="18" t="s">
        <v>68</v>
      </c>
      <c r="D5" s="18" t="s">
        <v>69</v>
      </c>
      <c r="E5" s="18" t="s">
        <v>70</v>
      </c>
      <c r="F5" s="18" t="s">
        <v>29</v>
      </c>
      <c r="G5" s="18" t="s">
        <v>71</v>
      </c>
    </row>
    <row r="6" customFormat="false" ht="25.5" hidden="false" customHeight="true" outlineLevel="0" collapsed="false">
      <c r="A6" s="17" t="n">
        <v>2</v>
      </c>
      <c r="B6" s="18" t="s">
        <v>72</v>
      </c>
      <c r="C6" s="18" t="s">
        <v>73</v>
      </c>
      <c r="D6" s="18" t="s">
        <v>74</v>
      </c>
      <c r="E6" s="18" t="s">
        <v>75</v>
      </c>
      <c r="F6" s="18" t="s">
        <v>24</v>
      </c>
      <c r="G6" s="18" t="s">
        <v>76</v>
      </c>
    </row>
    <row r="7" customFormat="false" ht="25.5" hidden="false" customHeight="true" outlineLevel="0" collapsed="false">
      <c r="A7" s="17" t="n">
        <v>3</v>
      </c>
      <c r="B7" s="18" t="s">
        <v>77</v>
      </c>
      <c r="C7" s="18" t="s">
        <v>78</v>
      </c>
      <c r="D7" s="18" t="s">
        <v>79</v>
      </c>
      <c r="E7" s="18" t="s">
        <v>80</v>
      </c>
      <c r="F7" s="18" t="s">
        <v>28</v>
      </c>
      <c r="G7" s="18" t="s">
        <v>81</v>
      </c>
    </row>
    <row r="8" customFormat="false" ht="25.5" hidden="false" customHeight="true" outlineLevel="0" collapsed="false">
      <c r="A8" s="17" t="n">
        <v>4</v>
      </c>
      <c r="B8" s="18" t="s">
        <v>82</v>
      </c>
      <c r="C8" s="18" t="s">
        <v>83</v>
      </c>
      <c r="D8" s="18" t="s">
        <v>84</v>
      </c>
      <c r="E8" s="18" t="s">
        <v>85</v>
      </c>
      <c r="F8" s="18" t="s">
        <v>29</v>
      </c>
      <c r="G8" s="18" t="s">
        <v>86</v>
      </c>
    </row>
    <row r="9" customFormat="false" ht="21.75" hidden="false" customHeight="true" outlineLevel="0" collapsed="false">
      <c r="A9" s="17" t="str">
        <f aca="false">IF(B9="","",MAX($A$5:A8)+1)</f>
        <v/>
      </c>
      <c r="B9" s="18"/>
      <c r="C9" s="18"/>
      <c r="D9" s="18"/>
      <c r="E9" s="18"/>
      <c r="F9" s="18"/>
      <c r="G9" s="18"/>
    </row>
    <row r="10" customFormat="false" ht="21.75" hidden="false" customHeight="true" outlineLevel="0" collapsed="false">
      <c r="A10" s="17" t="str">
        <f aca="false">IF(B10="","",MAX($A$5:A9)+1)</f>
        <v/>
      </c>
      <c r="B10" s="18"/>
      <c r="C10" s="18"/>
      <c r="D10" s="18"/>
      <c r="E10" s="18"/>
      <c r="F10" s="18"/>
      <c r="G10" s="18"/>
    </row>
    <row r="11" customFormat="false" ht="21.75" hidden="false" customHeight="true" outlineLevel="0" collapsed="false">
      <c r="A11" s="17" t="str">
        <f aca="false">IF(B11="","",MAX($A$5:A10)+1)</f>
        <v/>
      </c>
      <c r="B11" s="18"/>
      <c r="C11" s="18"/>
      <c r="D11" s="18"/>
      <c r="E11" s="18"/>
      <c r="F11" s="18"/>
      <c r="G11" s="18"/>
    </row>
    <row r="12" customFormat="false" ht="21.75" hidden="false" customHeight="true" outlineLevel="0" collapsed="false">
      <c r="A12" s="17" t="str">
        <f aca="false">IF(B12="","",MAX($A$5:A11)+1)</f>
        <v/>
      </c>
      <c r="B12" s="18"/>
      <c r="C12" s="18"/>
      <c r="D12" s="18"/>
      <c r="E12" s="18"/>
      <c r="F12" s="18"/>
      <c r="G12" s="18"/>
    </row>
    <row r="13" customFormat="false" ht="21.75" hidden="false" customHeight="true" outlineLevel="0" collapsed="false">
      <c r="A13" s="17" t="str">
        <f aca="false">IF(B13="","",MAX($A$5:A12)+1)</f>
        <v/>
      </c>
      <c r="B13" s="18"/>
      <c r="C13" s="18"/>
      <c r="D13" s="18"/>
      <c r="E13" s="18"/>
      <c r="F13" s="18"/>
      <c r="G13" s="18"/>
    </row>
    <row r="14" customFormat="false" ht="21.75" hidden="false" customHeight="true" outlineLevel="0" collapsed="false">
      <c r="A14" s="17" t="str">
        <f aca="false">IF(B14="","",MAX($A$5:A13)+1)</f>
        <v/>
      </c>
      <c r="B14" s="18"/>
      <c r="C14" s="18"/>
      <c r="D14" s="18"/>
      <c r="E14" s="18"/>
      <c r="F14" s="18"/>
      <c r="G14" s="18"/>
    </row>
    <row r="15" customFormat="false" ht="21.75" hidden="false" customHeight="true" outlineLevel="0" collapsed="false">
      <c r="A15" s="17" t="str">
        <f aca="false">IF(B15="","",MAX($A$5:A14)+1)</f>
        <v/>
      </c>
      <c r="B15" s="18"/>
      <c r="C15" s="18"/>
      <c r="D15" s="18"/>
      <c r="E15" s="18"/>
      <c r="F15" s="18"/>
      <c r="G15" s="18"/>
    </row>
    <row r="16" customFormat="false" ht="21.75" hidden="false" customHeight="true" outlineLevel="0" collapsed="false">
      <c r="A16" s="17" t="str">
        <f aca="false">IF(B16="","",MAX($A$5:A15)+1)</f>
        <v/>
      </c>
      <c r="B16" s="18"/>
      <c r="C16" s="18"/>
      <c r="D16" s="18"/>
      <c r="E16" s="18"/>
      <c r="F16" s="18"/>
      <c r="G16" s="18"/>
    </row>
    <row r="17" customFormat="false" ht="21.75" hidden="false" customHeight="true" outlineLevel="0" collapsed="false">
      <c r="A17" s="17" t="str">
        <f aca="false">IF(B17="","",MAX($A$5:A16)+1)</f>
        <v/>
      </c>
      <c r="B17" s="18"/>
      <c r="C17" s="18"/>
      <c r="D17" s="18"/>
      <c r="E17" s="18"/>
      <c r="F17" s="18"/>
      <c r="G17" s="18"/>
    </row>
    <row r="18" customFormat="false" ht="21.75" hidden="false" customHeight="true" outlineLevel="0" collapsed="false">
      <c r="A18" s="17" t="str">
        <f aca="false">IF(B18="","",MAX($A$5:A17)+1)</f>
        <v/>
      </c>
      <c r="B18" s="18"/>
      <c r="C18" s="18"/>
      <c r="D18" s="18"/>
      <c r="E18" s="18"/>
      <c r="F18" s="18"/>
      <c r="G18" s="18"/>
    </row>
    <row r="19" customFormat="false" ht="21.75" hidden="false" customHeight="true" outlineLevel="0" collapsed="false">
      <c r="A19" s="17" t="str">
        <f aca="false">IF(B19="","",MAX($A$5:A18)+1)</f>
        <v/>
      </c>
      <c r="B19" s="18"/>
      <c r="C19" s="18"/>
      <c r="D19" s="18"/>
      <c r="E19" s="18"/>
      <c r="F19" s="18"/>
      <c r="G19" s="18"/>
    </row>
    <row r="20" customFormat="false" ht="21.75" hidden="false" customHeight="true" outlineLevel="0" collapsed="false">
      <c r="A20" s="17" t="str">
        <f aca="false">IF(B20="","",MAX($A$5:A19)+1)</f>
        <v/>
      </c>
      <c r="B20" s="18"/>
      <c r="C20" s="18"/>
      <c r="D20" s="18"/>
      <c r="E20" s="18"/>
      <c r="F20" s="18"/>
      <c r="G20" s="18"/>
    </row>
    <row r="21" customFormat="false" ht="21.75" hidden="false" customHeight="true" outlineLevel="0" collapsed="false">
      <c r="A21" s="17" t="str">
        <f aca="false">IF(B21="","",MAX($A$5:A20)+1)</f>
        <v/>
      </c>
      <c r="B21" s="18"/>
      <c r="C21" s="18"/>
      <c r="D21" s="18"/>
      <c r="E21" s="18"/>
      <c r="F21" s="18"/>
      <c r="G21" s="18"/>
    </row>
    <row r="22" customFormat="false" ht="21.75" hidden="false" customHeight="true" outlineLevel="0" collapsed="false">
      <c r="A22" s="17" t="str">
        <f aca="false">IF(B22="","",MAX($A$5:A21)+1)</f>
        <v/>
      </c>
      <c r="B22" s="18"/>
      <c r="C22" s="18"/>
      <c r="D22" s="18"/>
      <c r="E22" s="18"/>
      <c r="F22" s="18"/>
      <c r="G22" s="18"/>
    </row>
    <row r="23" customFormat="false" ht="21.75" hidden="false" customHeight="true" outlineLevel="0" collapsed="false">
      <c r="A23" s="17" t="str">
        <f aca="false">IF(B23="","",MAX($A$5:A22)+1)</f>
        <v/>
      </c>
      <c r="B23" s="18"/>
      <c r="C23" s="18"/>
      <c r="D23" s="18"/>
      <c r="E23" s="18"/>
      <c r="F23" s="18"/>
      <c r="G23" s="18"/>
    </row>
    <row r="24" customFormat="false" ht="21.75" hidden="false" customHeight="true" outlineLevel="0" collapsed="false">
      <c r="A24" s="17" t="str">
        <f aca="false">IF(B24="","",MAX($A$5:A23)+1)</f>
        <v/>
      </c>
      <c r="B24" s="18"/>
      <c r="C24" s="18"/>
      <c r="D24" s="18"/>
      <c r="E24" s="18"/>
      <c r="F24" s="18"/>
      <c r="G24" s="18"/>
    </row>
    <row r="25" customFormat="false" ht="21.75" hidden="false" customHeight="true" outlineLevel="0" collapsed="false">
      <c r="A25" s="17" t="str">
        <f aca="false">IF(B25="","",MAX($A$5:A24)+1)</f>
        <v/>
      </c>
      <c r="B25" s="18"/>
      <c r="C25" s="18"/>
      <c r="D25" s="18"/>
      <c r="E25" s="18"/>
      <c r="F25" s="18"/>
      <c r="G25" s="18"/>
    </row>
    <row r="26" customFormat="false" ht="21.75" hidden="false" customHeight="true" outlineLevel="0" collapsed="false">
      <c r="A26" s="17" t="str">
        <f aca="false">IF(B26="","",MAX($A$5:A25)+1)</f>
        <v/>
      </c>
      <c r="B26" s="18"/>
      <c r="C26" s="18"/>
      <c r="D26" s="18"/>
      <c r="E26" s="18"/>
      <c r="F26" s="18"/>
      <c r="G26" s="18"/>
    </row>
    <row r="27" customFormat="false" ht="21.75" hidden="false" customHeight="true" outlineLevel="0" collapsed="false">
      <c r="A27" s="17" t="str">
        <f aca="false">IF(B27="","",MAX($A$5:A26)+1)</f>
        <v/>
      </c>
      <c r="B27" s="18"/>
      <c r="C27" s="18"/>
      <c r="D27" s="18"/>
      <c r="E27" s="18"/>
      <c r="F27" s="18"/>
      <c r="G27" s="18"/>
    </row>
    <row r="28" customFormat="false" ht="21.75" hidden="false" customHeight="true" outlineLevel="0" collapsed="false">
      <c r="A28" s="17" t="str">
        <f aca="false">IF(B28="","",MAX($A$5:A27)+1)</f>
        <v/>
      </c>
      <c r="B28" s="18"/>
      <c r="C28" s="18"/>
      <c r="D28" s="18"/>
      <c r="E28" s="18"/>
      <c r="F28" s="18"/>
      <c r="G28" s="18"/>
    </row>
    <row r="29" customFormat="false" ht="21.75" hidden="false" customHeight="true" outlineLevel="0" collapsed="false">
      <c r="A29" s="17" t="str">
        <f aca="false">IF(B29="","",MAX($A$5:A28)+1)</f>
        <v/>
      </c>
      <c r="B29" s="18"/>
      <c r="C29" s="18"/>
      <c r="D29" s="18"/>
      <c r="E29" s="18"/>
      <c r="F29" s="18"/>
      <c r="G29" s="18"/>
    </row>
    <row r="30" customFormat="false" ht="21.75" hidden="false" customHeight="true" outlineLevel="0" collapsed="false">
      <c r="A30" s="17" t="str">
        <f aca="false">IF(B30="","",MAX($A$5:A29)+1)</f>
        <v/>
      </c>
      <c r="B30" s="18"/>
      <c r="C30" s="18"/>
      <c r="D30" s="18"/>
      <c r="E30" s="18"/>
      <c r="F30" s="18"/>
      <c r="G30" s="18"/>
    </row>
    <row r="31" customFormat="false" ht="21.75" hidden="false" customHeight="true" outlineLevel="0" collapsed="false">
      <c r="A31" s="17" t="str">
        <f aca="false">IF(B31="","",MAX($A$5:A30)+1)</f>
        <v/>
      </c>
      <c r="B31" s="18"/>
      <c r="C31" s="18"/>
      <c r="D31" s="18"/>
      <c r="E31" s="18"/>
      <c r="F31" s="18"/>
      <c r="G31" s="18"/>
    </row>
    <row r="32" customFormat="false" ht="21.75" hidden="false" customHeight="true" outlineLevel="0" collapsed="false">
      <c r="A32" s="17" t="str">
        <f aca="false">IF(B32="","",MAX($A$5:A31)+1)</f>
        <v/>
      </c>
      <c r="B32" s="18"/>
      <c r="C32" s="18"/>
      <c r="D32" s="18"/>
      <c r="E32" s="18"/>
      <c r="F32" s="18"/>
      <c r="G32" s="18"/>
    </row>
    <row r="33" customFormat="false" ht="21.75" hidden="false" customHeight="true" outlineLevel="0" collapsed="false">
      <c r="A33" s="17" t="str">
        <f aca="false">IF(B33="","",MAX($A$5:A32)+1)</f>
        <v/>
      </c>
      <c r="B33" s="18"/>
      <c r="C33" s="18"/>
      <c r="D33" s="18"/>
      <c r="E33" s="18"/>
      <c r="F33" s="18"/>
      <c r="G33" s="18"/>
    </row>
    <row r="34" customFormat="false" ht="21.75" hidden="false" customHeight="true" outlineLevel="0" collapsed="false">
      <c r="A34" s="17" t="str">
        <f aca="false">IF(B34="","",MAX($A$5:A33)+1)</f>
        <v/>
      </c>
      <c r="B34" s="18"/>
      <c r="C34" s="18"/>
      <c r="D34" s="18"/>
      <c r="E34" s="18"/>
      <c r="F34" s="18"/>
      <c r="G34" s="18"/>
    </row>
    <row r="35" customFormat="false" ht="21.75" hidden="false" customHeight="true" outlineLevel="0" collapsed="false">
      <c r="A35" s="17" t="str">
        <f aca="false">IF(B35="","",MAX($A$5:A34)+1)</f>
        <v/>
      </c>
      <c r="B35" s="18"/>
      <c r="C35" s="18"/>
      <c r="D35" s="18"/>
      <c r="E35" s="18"/>
      <c r="F35" s="18"/>
      <c r="G35" s="18"/>
    </row>
    <row r="36" customFormat="false" ht="21.75" hidden="false" customHeight="true" outlineLevel="0" collapsed="false">
      <c r="A36" s="17" t="str">
        <f aca="false">IF(B36="","",MAX($A$5:A35)+1)</f>
        <v/>
      </c>
      <c r="B36" s="18"/>
      <c r="C36" s="18"/>
      <c r="D36" s="18"/>
      <c r="E36" s="18"/>
      <c r="F36" s="18"/>
      <c r="G36" s="18"/>
    </row>
    <row r="37" customFormat="false" ht="21.75" hidden="false" customHeight="true" outlineLevel="0" collapsed="false">
      <c r="A37" s="17" t="str">
        <f aca="false">IF(B37="","",MAX($A$5:A36)+1)</f>
        <v/>
      </c>
      <c r="B37" s="18"/>
      <c r="C37" s="18"/>
      <c r="D37" s="18"/>
      <c r="E37" s="18"/>
      <c r="F37" s="18"/>
      <c r="G37" s="18"/>
    </row>
    <row r="38" customFormat="false" ht="21.75" hidden="false" customHeight="true" outlineLevel="0" collapsed="false">
      <c r="A38" s="17" t="str">
        <f aca="false">IF(B38="","",MAX($A$5:A37)+1)</f>
        <v/>
      </c>
      <c r="B38" s="18"/>
      <c r="C38" s="18"/>
      <c r="D38" s="18"/>
      <c r="E38" s="18"/>
      <c r="F38" s="18"/>
      <c r="G38" s="18"/>
    </row>
    <row r="39" customFormat="false" ht="21.75" hidden="false" customHeight="true" outlineLevel="0" collapsed="false">
      <c r="A39" s="17" t="str">
        <f aca="false">IF(B39="","",MAX($A$5:A38)+1)</f>
        <v/>
      </c>
      <c r="B39" s="18"/>
      <c r="C39" s="18"/>
      <c r="D39" s="18"/>
      <c r="E39" s="18"/>
      <c r="F39" s="18"/>
      <c r="G39" s="18"/>
    </row>
    <row r="40" customFormat="false" ht="21.75" hidden="false" customHeight="true" outlineLevel="0" collapsed="false">
      <c r="A40" s="17" t="str">
        <f aca="false">IF(B40="","",MAX($A$5:A39)+1)</f>
        <v/>
      </c>
      <c r="B40" s="18"/>
      <c r="C40" s="18"/>
      <c r="D40" s="18"/>
      <c r="E40" s="18"/>
      <c r="F40" s="18"/>
      <c r="G40" s="18"/>
    </row>
    <row r="41" customFormat="false" ht="21.75" hidden="false" customHeight="true" outlineLevel="0" collapsed="false">
      <c r="A41" s="17" t="str">
        <f aca="false">IF(B41="","",MAX($A$5:A40)+1)</f>
        <v/>
      </c>
      <c r="B41" s="18"/>
      <c r="C41" s="18"/>
      <c r="D41" s="18"/>
      <c r="E41" s="18"/>
      <c r="F41" s="18"/>
      <c r="G41" s="18"/>
    </row>
    <row r="42" customFormat="false" ht="21.75" hidden="false" customHeight="true" outlineLevel="0" collapsed="false">
      <c r="A42" s="17" t="str">
        <f aca="false">IF(B42="","",MAX($A$5:A41)+1)</f>
        <v/>
      </c>
      <c r="B42" s="18"/>
      <c r="C42" s="18"/>
      <c r="D42" s="18"/>
      <c r="E42" s="18"/>
      <c r="F42" s="18"/>
      <c r="G42" s="18"/>
    </row>
    <row r="43" customFormat="false" ht="21.75" hidden="false" customHeight="true" outlineLevel="0" collapsed="false">
      <c r="A43" s="17" t="str">
        <f aca="false">IF(B43="","",MAX($A$5:A42)+1)</f>
        <v/>
      </c>
      <c r="B43" s="18"/>
      <c r="C43" s="18"/>
      <c r="D43" s="18"/>
      <c r="E43" s="18"/>
      <c r="F43" s="18"/>
      <c r="G43" s="18"/>
    </row>
    <row r="44" customFormat="false" ht="21.75" hidden="false" customHeight="true" outlineLevel="0" collapsed="false">
      <c r="A44" s="17" t="str">
        <f aca="false">IF(B44="","",MAX($A$5:A43)+1)</f>
        <v/>
      </c>
      <c r="B44" s="18"/>
      <c r="C44" s="18"/>
      <c r="D44" s="18"/>
      <c r="E44" s="18"/>
      <c r="F44" s="18"/>
      <c r="G44" s="18"/>
    </row>
    <row r="45" customFormat="false" ht="21.75" hidden="false" customHeight="true" outlineLevel="0" collapsed="false">
      <c r="A45" s="17" t="str">
        <f aca="false">IF(B45="","",MAX($A$5:A44)+1)</f>
        <v/>
      </c>
      <c r="B45" s="18"/>
      <c r="C45" s="18"/>
      <c r="D45" s="18"/>
      <c r="E45" s="18"/>
      <c r="F45" s="18"/>
      <c r="G45" s="18"/>
    </row>
    <row r="46" customFormat="false" ht="21.75" hidden="false" customHeight="true" outlineLevel="0" collapsed="false">
      <c r="A46" s="17" t="str">
        <f aca="false">IF(B46="","",MAX($A$5:A45)+1)</f>
        <v/>
      </c>
      <c r="B46" s="18"/>
      <c r="C46" s="18"/>
      <c r="D46" s="18"/>
      <c r="E46" s="18"/>
      <c r="F46" s="18"/>
      <c r="G46" s="18"/>
    </row>
    <row r="47" customFormat="false" ht="21.75" hidden="false" customHeight="true" outlineLevel="0" collapsed="false">
      <c r="A47" s="17" t="str">
        <f aca="false">IF(B47="","",MAX($A$5:A46)+1)</f>
        <v/>
      </c>
      <c r="B47" s="18"/>
      <c r="C47" s="18"/>
      <c r="D47" s="18"/>
      <c r="E47" s="18"/>
      <c r="F47" s="18"/>
      <c r="G47" s="18"/>
    </row>
    <row r="48" customFormat="false" ht="21.75" hidden="false" customHeight="true" outlineLevel="0" collapsed="false">
      <c r="A48" s="17" t="str">
        <f aca="false">IF(B48="","",MAX($A$5:A47)+1)</f>
        <v/>
      </c>
      <c r="B48" s="18"/>
      <c r="C48" s="18"/>
      <c r="D48" s="18"/>
      <c r="E48" s="18"/>
      <c r="F48" s="18"/>
      <c r="G48" s="18"/>
    </row>
    <row r="49" customFormat="false" ht="21.75" hidden="false" customHeight="true" outlineLevel="0" collapsed="false">
      <c r="A49" s="17" t="str">
        <f aca="false">IF(B49="","",MAX($A$5:A48)+1)</f>
        <v/>
      </c>
      <c r="B49" s="18"/>
      <c r="C49" s="18"/>
      <c r="D49" s="18"/>
      <c r="E49" s="18"/>
      <c r="F49" s="18"/>
      <c r="G49" s="18"/>
    </row>
    <row r="50" customFormat="false" ht="21.75" hidden="false" customHeight="true" outlineLevel="0" collapsed="false">
      <c r="A50" s="17" t="str">
        <f aca="false">IF(B50="","",MAX($A$5:A49)+1)</f>
        <v/>
      </c>
      <c r="B50" s="18"/>
      <c r="C50" s="18"/>
      <c r="D50" s="18"/>
      <c r="E50" s="18"/>
      <c r="F50" s="18"/>
      <c r="G50" s="18"/>
    </row>
    <row r="51" customFormat="false" ht="21.75" hidden="false" customHeight="true" outlineLevel="0" collapsed="false">
      <c r="A51" s="17" t="str">
        <f aca="false">IF(B51="","",MAX($A$5:A50)+1)</f>
        <v/>
      </c>
      <c r="B51" s="18"/>
      <c r="C51" s="18"/>
      <c r="D51" s="18"/>
      <c r="E51" s="18"/>
      <c r="F51" s="18"/>
      <c r="G51" s="18"/>
    </row>
    <row r="52" customFormat="false" ht="21.75" hidden="false" customHeight="true" outlineLevel="0" collapsed="false">
      <c r="A52" s="17" t="str">
        <f aca="false">IF(B52="","",MAX($A$5:A51)+1)</f>
        <v/>
      </c>
      <c r="B52" s="18"/>
      <c r="C52" s="18"/>
      <c r="D52" s="18"/>
      <c r="E52" s="18"/>
      <c r="F52" s="18"/>
      <c r="G52" s="18"/>
    </row>
    <row r="53" customFormat="false" ht="21.75" hidden="false" customHeight="true" outlineLevel="0" collapsed="false">
      <c r="A53" s="17" t="str">
        <f aca="false">IF(B53="","",MAX($A$5:A52)+1)</f>
        <v/>
      </c>
      <c r="B53" s="18"/>
      <c r="C53" s="18"/>
      <c r="D53" s="18"/>
      <c r="E53" s="18"/>
      <c r="F53" s="18"/>
      <c r="G53" s="18"/>
    </row>
    <row r="54" customFormat="false" ht="21.75" hidden="false" customHeight="true" outlineLevel="0" collapsed="false">
      <c r="A54" s="17" t="str">
        <f aca="false">IF(B54="","",MAX($A$5:A53)+1)</f>
        <v/>
      </c>
      <c r="B54" s="18"/>
      <c r="C54" s="18"/>
      <c r="D54" s="18"/>
      <c r="E54" s="18"/>
      <c r="F54" s="18"/>
      <c r="G54" s="18"/>
    </row>
    <row r="55" customFormat="false" ht="21.75" hidden="false" customHeight="true" outlineLevel="0" collapsed="false">
      <c r="A55" s="17" t="str">
        <f aca="false">IF(B55="","",MAX($A$5:A54)+1)</f>
        <v/>
      </c>
      <c r="B55" s="18"/>
      <c r="C55" s="18"/>
      <c r="D55" s="18"/>
      <c r="E55" s="18"/>
      <c r="F55" s="18"/>
      <c r="G55" s="18"/>
    </row>
    <row r="56" customFormat="false" ht="21.75" hidden="false" customHeight="true" outlineLevel="0" collapsed="false">
      <c r="A56" s="17" t="str">
        <f aca="false">IF(B56="","",MAX($A$5:A55)+1)</f>
        <v/>
      </c>
      <c r="B56" s="18"/>
      <c r="C56" s="18"/>
      <c r="D56" s="18"/>
      <c r="E56" s="18"/>
      <c r="F56" s="18"/>
      <c r="G56" s="18"/>
    </row>
    <row r="57" customFormat="false" ht="21.75" hidden="false" customHeight="true" outlineLevel="0" collapsed="false">
      <c r="A57" s="17" t="str">
        <f aca="false">IF(B57="","",MAX($A$5:A56)+1)</f>
        <v/>
      </c>
      <c r="B57" s="18"/>
      <c r="C57" s="18"/>
      <c r="D57" s="18"/>
      <c r="E57" s="18"/>
      <c r="F57" s="18"/>
      <c r="G57" s="18"/>
    </row>
    <row r="58" customFormat="false" ht="21.75" hidden="false" customHeight="true" outlineLevel="0" collapsed="false">
      <c r="A58" s="17" t="str">
        <f aca="false">IF(B58="","",MAX($A$5:A57)+1)</f>
        <v/>
      </c>
      <c r="B58" s="18"/>
      <c r="C58" s="18"/>
      <c r="D58" s="18"/>
      <c r="E58" s="18"/>
      <c r="F58" s="18"/>
      <c r="G58" s="18"/>
    </row>
    <row r="59" customFormat="false" ht="21.75" hidden="false" customHeight="true" outlineLevel="0" collapsed="false">
      <c r="A59" s="17" t="str">
        <f aca="false">IF(B59="","",MAX($A$5:A58)+1)</f>
        <v/>
      </c>
      <c r="B59" s="18"/>
      <c r="C59" s="18"/>
      <c r="D59" s="18"/>
      <c r="E59" s="18"/>
      <c r="F59" s="18"/>
      <c r="G59" s="18"/>
    </row>
    <row r="60" customFormat="false" ht="21.75" hidden="false" customHeight="true" outlineLevel="0" collapsed="false">
      <c r="A60" s="17" t="str">
        <f aca="false">IF(B60="","",MAX($A$5:A59)+1)</f>
        <v/>
      </c>
      <c r="B60" s="18"/>
      <c r="C60" s="18"/>
      <c r="D60" s="18"/>
      <c r="E60" s="18"/>
      <c r="F60" s="18"/>
      <c r="G60" s="18"/>
    </row>
    <row r="61" customFormat="false" ht="21.75" hidden="false" customHeight="true" outlineLevel="0" collapsed="false">
      <c r="A61" s="17" t="str">
        <f aca="false">IF(B61="","",MAX($A$5:A60)+1)</f>
        <v/>
      </c>
      <c r="B61" s="18"/>
      <c r="C61" s="18"/>
      <c r="D61" s="18"/>
      <c r="E61" s="18"/>
      <c r="F61" s="18"/>
      <c r="G61" s="18"/>
    </row>
    <row r="62" customFormat="false" ht="21.75" hidden="false" customHeight="true" outlineLevel="0" collapsed="false">
      <c r="A62" s="17" t="str">
        <f aca="false">IF(B62="","",MAX($A$5:A61)+1)</f>
        <v/>
      </c>
      <c r="B62" s="18"/>
      <c r="C62" s="18"/>
      <c r="D62" s="18"/>
      <c r="E62" s="18"/>
      <c r="F62" s="18"/>
      <c r="G62" s="18"/>
    </row>
    <row r="63" customFormat="false" ht="21.75" hidden="false" customHeight="true" outlineLevel="0" collapsed="false">
      <c r="A63" s="17" t="str">
        <f aca="false">IF(B63="","",MAX($A$5:A62)+1)</f>
        <v/>
      </c>
      <c r="B63" s="18"/>
      <c r="C63" s="18"/>
      <c r="D63" s="18"/>
      <c r="E63" s="18"/>
      <c r="F63" s="18"/>
      <c r="G63" s="18"/>
    </row>
    <row r="64" customFormat="false" ht="21.75" hidden="false" customHeight="true" outlineLevel="0" collapsed="false">
      <c r="A64" s="17" t="str">
        <f aca="false">IF(B64="","",MAX($A$5:A63)+1)</f>
        <v/>
      </c>
      <c r="B64" s="18"/>
      <c r="C64" s="18"/>
      <c r="D64" s="18"/>
      <c r="E64" s="18"/>
      <c r="F64" s="18"/>
      <c r="G64" s="18"/>
    </row>
    <row r="65" customFormat="false" ht="21.75" hidden="false" customHeight="true" outlineLevel="0" collapsed="false">
      <c r="A65" s="17" t="str">
        <f aca="false">IF(B65="","",MAX($A$5:A64)+1)</f>
        <v/>
      </c>
      <c r="B65" s="18"/>
      <c r="C65" s="18"/>
      <c r="D65" s="18"/>
      <c r="E65" s="18"/>
      <c r="F65" s="18"/>
      <c r="G65" s="18"/>
    </row>
    <row r="66" customFormat="false" ht="21.75" hidden="false" customHeight="true" outlineLevel="0" collapsed="false">
      <c r="A66" s="17" t="str">
        <f aca="false">IF(B66="","",MAX($A$5:A65)+1)</f>
        <v/>
      </c>
      <c r="B66" s="18"/>
      <c r="C66" s="18"/>
      <c r="D66" s="18"/>
      <c r="E66" s="18"/>
      <c r="F66" s="18"/>
      <c r="G66" s="18"/>
    </row>
    <row r="67" customFormat="false" ht="21.75" hidden="false" customHeight="true" outlineLevel="0" collapsed="false">
      <c r="A67" s="17" t="str">
        <f aca="false">IF(B67="","",MAX($A$5:A66)+1)</f>
        <v/>
      </c>
      <c r="B67" s="18"/>
      <c r="C67" s="18"/>
      <c r="D67" s="18"/>
      <c r="E67" s="18"/>
      <c r="F67" s="18"/>
      <c r="G67" s="18"/>
    </row>
    <row r="68" customFormat="false" ht="21.75" hidden="false" customHeight="true" outlineLevel="0" collapsed="false">
      <c r="A68" s="17" t="str">
        <f aca="false">IF(B68="","",MAX($A$5:A67)+1)</f>
        <v/>
      </c>
      <c r="B68" s="18"/>
      <c r="C68" s="18"/>
      <c r="D68" s="18"/>
      <c r="E68" s="18"/>
      <c r="F68" s="18"/>
      <c r="G68" s="18"/>
    </row>
    <row r="69" customFormat="false" ht="21.75" hidden="false" customHeight="true" outlineLevel="0" collapsed="false">
      <c r="A69" s="17" t="str">
        <f aca="false">IF(B69="","",MAX($A$5:A68)+1)</f>
        <v/>
      </c>
      <c r="B69" s="18"/>
      <c r="C69" s="18"/>
      <c r="D69" s="18"/>
      <c r="E69" s="18"/>
      <c r="F69" s="18"/>
      <c r="G69" s="18"/>
    </row>
    <row r="70" customFormat="false" ht="21.75" hidden="false" customHeight="true" outlineLevel="0" collapsed="false">
      <c r="A70" s="17" t="str">
        <f aca="false">IF(B70="","",MAX($A$5:A69)+1)</f>
        <v/>
      </c>
      <c r="B70" s="18"/>
      <c r="C70" s="18"/>
      <c r="D70" s="18"/>
      <c r="E70" s="18"/>
      <c r="F70" s="18"/>
      <c r="G70" s="18"/>
    </row>
    <row r="71" customFormat="false" ht="21.75" hidden="false" customHeight="true" outlineLevel="0" collapsed="false">
      <c r="A71" s="17" t="str">
        <f aca="false">IF(B71="","",MAX($A$5:A70)+1)</f>
        <v/>
      </c>
      <c r="B71" s="18"/>
      <c r="C71" s="18"/>
      <c r="D71" s="18"/>
      <c r="E71" s="18"/>
      <c r="F71" s="18"/>
      <c r="G71" s="18"/>
    </row>
    <row r="72" customFormat="false" ht="21.75" hidden="false" customHeight="true" outlineLevel="0" collapsed="false">
      <c r="A72" s="17" t="str">
        <f aca="false">IF(B72="","",MAX($A$5:A71)+1)</f>
        <v/>
      </c>
      <c r="B72" s="18"/>
      <c r="C72" s="18"/>
      <c r="D72" s="18"/>
      <c r="E72" s="18"/>
      <c r="F72" s="18"/>
      <c r="G72" s="18"/>
    </row>
    <row r="73" customFormat="false" ht="21.75" hidden="false" customHeight="true" outlineLevel="0" collapsed="false">
      <c r="A73" s="17" t="str">
        <f aca="false">IF(B73="","",MAX($A$5:A72)+1)</f>
        <v/>
      </c>
      <c r="B73" s="18"/>
      <c r="C73" s="18"/>
      <c r="D73" s="18"/>
      <c r="E73" s="18"/>
      <c r="F73" s="18"/>
      <c r="G73" s="18"/>
    </row>
    <row r="74" customFormat="false" ht="21.75" hidden="false" customHeight="true" outlineLevel="0" collapsed="false">
      <c r="A74" s="17" t="str">
        <f aca="false">IF(B74="","",MAX($A$5:A73)+1)</f>
        <v/>
      </c>
      <c r="B74" s="18"/>
      <c r="C74" s="18"/>
      <c r="D74" s="18"/>
      <c r="E74" s="18"/>
      <c r="F74" s="18"/>
      <c r="G74" s="18"/>
    </row>
    <row r="75" customFormat="false" ht="21.75" hidden="false" customHeight="true" outlineLevel="0" collapsed="false">
      <c r="A75" s="17" t="str">
        <f aca="false">IF(B75="","",MAX($A$5:A74)+1)</f>
        <v/>
      </c>
      <c r="B75" s="18"/>
      <c r="C75" s="18"/>
      <c r="D75" s="18"/>
      <c r="E75" s="18"/>
      <c r="F75" s="18"/>
      <c r="G75" s="18"/>
    </row>
    <row r="76" customFormat="false" ht="21.75" hidden="false" customHeight="true" outlineLevel="0" collapsed="false">
      <c r="A76" s="17" t="str">
        <f aca="false">IF(B76="","",MAX($A$5:A75)+1)</f>
        <v/>
      </c>
      <c r="B76" s="18"/>
      <c r="C76" s="18"/>
      <c r="D76" s="18"/>
      <c r="E76" s="18"/>
      <c r="F76" s="18"/>
      <c r="G76" s="18"/>
    </row>
    <row r="77" customFormat="false" ht="21.75" hidden="false" customHeight="true" outlineLevel="0" collapsed="false">
      <c r="A77" s="17" t="str">
        <f aca="false">IF(B77="","",MAX($A$5:A76)+1)</f>
        <v/>
      </c>
      <c r="B77" s="18"/>
      <c r="C77" s="18"/>
      <c r="D77" s="18"/>
      <c r="E77" s="18"/>
      <c r="F77" s="18"/>
      <c r="G77" s="18"/>
    </row>
    <row r="78" customFormat="false" ht="21.75" hidden="false" customHeight="true" outlineLevel="0" collapsed="false">
      <c r="A78" s="17" t="str">
        <f aca="false">IF(B78="","",MAX($A$5:A77)+1)</f>
        <v/>
      </c>
      <c r="B78" s="18"/>
      <c r="C78" s="18"/>
      <c r="D78" s="18"/>
      <c r="E78" s="18"/>
      <c r="F78" s="18"/>
      <c r="G78" s="18"/>
    </row>
    <row r="79" customFormat="false" ht="21.75" hidden="false" customHeight="true" outlineLevel="0" collapsed="false">
      <c r="A79" s="17" t="str">
        <f aca="false">IF(B79="","",MAX($A$5:A78)+1)</f>
        <v/>
      </c>
      <c r="B79" s="18"/>
      <c r="C79" s="18"/>
      <c r="D79" s="18"/>
      <c r="E79" s="18"/>
      <c r="F79" s="18"/>
      <c r="G79" s="18"/>
    </row>
    <row r="80" customFormat="false" ht="21.75" hidden="false" customHeight="true" outlineLevel="0" collapsed="false">
      <c r="A80" s="17" t="str">
        <f aca="false">IF(B80="","",MAX($A$5:A79)+1)</f>
        <v/>
      </c>
      <c r="B80" s="18"/>
      <c r="C80" s="18"/>
      <c r="D80" s="18"/>
      <c r="E80" s="18"/>
      <c r="F80" s="18"/>
      <c r="G80" s="18"/>
    </row>
    <row r="81" customFormat="false" ht="21.75" hidden="false" customHeight="true" outlineLevel="0" collapsed="false">
      <c r="A81" s="17" t="str">
        <f aca="false">IF(B81="","",MAX($A$5:A80)+1)</f>
        <v/>
      </c>
      <c r="B81" s="18"/>
      <c r="C81" s="18"/>
      <c r="D81" s="18"/>
      <c r="E81" s="18"/>
      <c r="F81" s="18"/>
      <c r="G81" s="18"/>
    </row>
    <row r="82" customFormat="false" ht="21.75" hidden="false" customHeight="true" outlineLevel="0" collapsed="false">
      <c r="A82" s="17" t="str">
        <f aca="false">IF(B82="","",MAX($A$5:A81)+1)</f>
        <v/>
      </c>
      <c r="B82" s="18"/>
      <c r="C82" s="18"/>
      <c r="D82" s="18"/>
      <c r="E82" s="18"/>
      <c r="F82" s="18"/>
      <c r="G82" s="18"/>
    </row>
    <row r="83" customFormat="false" ht="21.75" hidden="false" customHeight="true" outlineLevel="0" collapsed="false">
      <c r="A83" s="17" t="str">
        <f aca="false">IF(B83="","",MAX($A$5:A82)+1)</f>
        <v/>
      </c>
      <c r="B83" s="18"/>
      <c r="C83" s="18"/>
      <c r="D83" s="18"/>
      <c r="E83" s="18"/>
      <c r="F83" s="18"/>
      <c r="G83" s="18"/>
    </row>
    <row r="84" customFormat="false" ht="21.75" hidden="false" customHeight="true" outlineLevel="0" collapsed="false">
      <c r="A84" s="17" t="str">
        <f aca="false">IF(B84="","",MAX($A$5:A83)+1)</f>
        <v/>
      </c>
      <c r="B84" s="18"/>
      <c r="C84" s="18"/>
      <c r="D84" s="18"/>
      <c r="E84" s="18"/>
      <c r="F84" s="18"/>
      <c r="G84" s="18"/>
    </row>
    <row r="85" customFormat="false" ht="21.75" hidden="false" customHeight="true" outlineLevel="0" collapsed="false">
      <c r="A85" s="17" t="str">
        <f aca="false">IF(B85="","",MAX($A$5:A84)+1)</f>
        <v/>
      </c>
      <c r="B85" s="18"/>
      <c r="C85" s="18"/>
      <c r="D85" s="18"/>
      <c r="E85" s="18"/>
      <c r="F85" s="18"/>
      <c r="G85" s="18"/>
    </row>
    <row r="86" customFormat="false" ht="21.75" hidden="false" customHeight="true" outlineLevel="0" collapsed="false">
      <c r="A86" s="17" t="str">
        <f aca="false">IF(B86="","",MAX($A$5:A85)+1)</f>
        <v/>
      </c>
      <c r="B86" s="18"/>
      <c r="C86" s="18"/>
      <c r="D86" s="18"/>
      <c r="E86" s="18"/>
      <c r="F86" s="18"/>
      <c r="G86" s="18"/>
    </row>
    <row r="87" customFormat="false" ht="21.75" hidden="false" customHeight="true" outlineLevel="0" collapsed="false">
      <c r="A87" s="17" t="str">
        <f aca="false">IF(B87="","",MAX($A$5:A86)+1)</f>
        <v/>
      </c>
      <c r="B87" s="18"/>
      <c r="C87" s="18"/>
      <c r="D87" s="18"/>
      <c r="E87" s="18"/>
      <c r="F87" s="18"/>
      <c r="G87" s="18"/>
    </row>
    <row r="88" customFormat="false" ht="21.75" hidden="false" customHeight="true" outlineLevel="0" collapsed="false">
      <c r="A88" s="17" t="str">
        <f aca="false">IF(B88="","",MAX($A$5:A87)+1)</f>
        <v/>
      </c>
      <c r="B88" s="18"/>
      <c r="C88" s="18"/>
      <c r="D88" s="18"/>
      <c r="E88" s="18"/>
      <c r="F88" s="18"/>
      <c r="G88" s="18"/>
    </row>
    <row r="89" customFormat="false" ht="21.75" hidden="false" customHeight="true" outlineLevel="0" collapsed="false">
      <c r="A89" s="17" t="str">
        <f aca="false">IF(B89="","",MAX($A$5:A88)+1)</f>
        <v/>
      </c>
      <c r="B89" s="18"/>
      <c r="C89" s="18"/>
      <c r="D89" s="18"/>
      <c r="E89" s="18"/>
      <c r="F89" s="18"/>
      <c r="G89" s="18"/>
    </row>
    <row r="90" customFormat="false" ht="21.75" hidden="false" customHeight="true" outlineLevel="0" collapsed="false">
      <c r="A90" s="17" t="str">
        <f aca="false">IF(B90="","",MAX($A$5:A89)+1)</f>
        <v/>
      </c>
      <c r="B90" s="18"/>
      <c r="C90" s="18"/>
      <c r="D90" s="18"/>
      <c r="E90" s="18"/>
      <c r="F90" s="18"/>
      <c r="G90" s="18"/>
    </row>
    <row r="91" customFormat="false" ht="21.75" hidden="false" customHeight="true" outlineLevel="0" collapsed="false">
      <c r="A91" s="17" t="str">
        <f aca="false">IF(B91="","",MAX($A$5:A90)+1)</f>
        <v/>
      </c>
      <c r="B91" s="18"/>
      <c r="C91" s="18"/>
      <c r="D91" s="18"/>
      <c r="E91" s="18"/>
      <c r="F91" s="18"/>
      <c r="G91" s="18"/>
    </row>
    <row r="92" customFormat="false" ht="21.75" hidden="false" customHeight="true" outlineLevel="0" collapsed="false">
      <c r="A92" s="17" t="str">
        <f aca="false">IF(B92="","",MAX($A$5:A91)+1)</f>
        <v/>
      </c>
      <c r="B92" s="18"/>
      <c r="C92" s="18"/>
      <c r="D92" s="18"/>
      <c r="E92" s="18"/>
      <c r="F92" s="18"/>
      <c r="G92" s="18"/>
    </row>
    <row r="93" customFormat="false" ht="21.75" hidden="false" customHeight="true" outlineLevel="0" collapsed="false">
      <c r="A93" s="17" t="str">
        <f aca="false">IF(B93="","",MAX($A$5:A92)+1)</f>
        <v/>
      </c>
      <c r="B93" s="18"/>
      <c r="C93" s="18"/>
      <c r="D93" s="18"/>
      <c r="E93" s="18"/>
      <c r="F93" s="18"/>
      <c r="G93" s="18"/>
    </row>
    <row r="94" customFormat="false" ht="21.75" hidden="false" customHeight="true" outlineLevel="0" collapsed="false">
      <c r="A94" s="17" t="str">
        <f aca="false">IF(B94="","",MAX($A$5:A93)+1)</f>
        <v/>
      </c>
      <c r="B94" s="18"/>
      <c r="C94" s="18"/>
      <c r="D94" s="18"/>
      <c r="E94" s="18"/>
      <c r="F94" s="18"/>
      <c r="G94" s="18"/>
    </row>
    <row r="95" customFormat="false" ht="21.75" hidden="false" customHeight="true" outlineLevel="0" collapsed="false">
      <c r="A95" s="17" t="str">
        <f aca="false">IF(B95="","",MAX($A$5:A94)+1)</f>
        <v/>
      </c>
      <c r="B95" s="18"/>
      <c r="C95" s="18"/>
      <c r="D95" s="18"/>
      <c r="E95" s="18"/>
      <c r="F95" s="18"/>
      <c r="G95" s="18"/>
    </row>
    <row r="96" customFormat="false" ht="21.75" hidden="false" customHeight="true" outlineLevel="0" collapsed="false">
      <c r="A96" s="17" t="str">
        <f aca="false">IF(B96="","",MAX($A$5:A95)+1)</f>
        <v/>
      </c>
      <c r="B96" s="18"/>
      <c r="C96" s="18"/>
      <c r="D96" s="18"/>
      <c r="E96" s="18"/>
      <c r="F96" s="18"/>
      <c r="G96" s="18"/>
    </row>
    <row r="97" customFormat="false" ht="21.75" hidden="false" customHeight="true" outlineLevel="0" collapsed="false">
      <c r="A97" s="17" t="str">
        <f aca="false">IF(B97="","",MAX($A$5:A96)+1)</f>
        <v/>
      </c>
      <c r="B97" s="18"/>
      <c r="C97" s="18"/>
      <c r="D97" s="18"/>
      <c r="E97" s="18"/>
      <c r="F97" s="18"/>
      <c r="G97" s="18"/>
    </row>
    <row r="98" customFormat="false" ht="21.75" hidden="false" customHeight="true" outlineLevel="0" collapsed="false">
      <c r="A98" s="17" t="str">
        <f aca="false">IF(B98="","",MAX($A$5:A97)+1)</f>
        <v/>
      </c>
      <c r="B98" s="18"/>
      <c r="C98" s="18"/>
      <c r="D98" s="18"/>
      <c r="E98" s="18"/>
      <c r="F98" s="18"/>
      <c r="G98" s="18"/>
    </row>
    <row r="99" customFormat="false" ht="21.75" hidden="false" customHeight="true" outlineLevel="0" collapsed="false">
      <c r="A99" s="17" t="str">
        <f aca="false">IF(B99="","",MAX($A$5:A98)+1)</f>
        <v/>
      </c>
      <c r="B99" s="18"/>
      <c r="C99" s="18"/>
      <c r="D99" s="18"/>
      <c r="E99" s="18"/>
      <c r="F99" s="18"/>
      <c r="G99" s="18"/>
    </row>
    <row r="100" customFormat="false" ht="21.75" hidden="false" customHeight="true" outlineLevel="0" collapsed="false">
      <c r="A100" s="17" t="str">
        <f aca="false">IF(B100="","",MAX($A$5:A99)+1)</f>
        <v/>
      </c>
      <c r="B100" s="18"/>
      <c r="C100" s="18"/>
      <c r="D100" s="18"/>
      <c r="E100" s="18"/>
      <c r="F100" s="18"/>
      <c r="G100" s="18"/>
    </row>
    <row r="101" customFormat="false" ht="21.75" hidden="false" customHeight="true" outlineLevel="0" collapsed="false">
      <c r="A101" s="17" t="str">
        <f aca="false">IF(B101="","",MAX($A$5:A100)+1)</f>
        <v/>
      </c>
      <c r="B101" s="18"/>
      <c r="C101" s="18"/>
      <c r="D101" s="18"/>
      <c r="E101" s="18"/>
      <c r="F101" s="18"/>
      <c r="G101" s="18"/>
    </row>
    <row r="102" customFormat="false" ht="21.75" hidden="false" customHeight="true" outlineLevel="0" collapsed="false">
      <c r="A102" s="17" t="str">
        <f aca="false">IF(B102="","",MAX($A$5:A101)+1)</f>
        <v/>
      </c>
      <c r="B102" s="18"/>
      <c r="C102" s="18"/>
      <c r="D102" s="18"/>
      <c r="E102" s="18"/>
      <c r="F102" s="18"/>
      <c r="G102" s="18"/>
    </row>
    <row r="103" customFormat="false" ht="21.75" hidden="false" customHeight="true" outlineLevel="0" collapsed="false">
      <c r="A103" s="17" t="str">
        <f aca="false">IF(B103="","",MAX($A$5:A102)+1)</f>
        <v/>
      </c>
      <c r="B103" s="18"/>
      <c r="C103" s="18"/>
      <c r="D103" s="18"/>
      <c r="E103" s="18"/>
      <c r="F103" s="18"/>
      <c r="G103" s="18"/>
    </row>
    <row r="104" customFormat="false" ht="21.75" hidden="false" customHeight="true" outlineLevel="0" collapsed="false">
      <c r="A104" s="17" t="str">
        <f aca="false">IF(B104="","",MAX($A$5:A103)+1)</f>
        <v/>
      </c>
      <c r="B104" s="18"/>
      <c r="C104" s="18"/>
      <c r="D104" s="18"/>
      <c r="E104" s="18"/>
      <c r="F104" s="18"/>
      <c r="G104" s="18"/>
    </row>
  </sheetData>
  <autoFilter ref="A4:G104"/>
  <mergeCells count="2">
    <mergeCell ref="A1:G1"/>
    <mergeCell ref="A2:G2"/>
  </mergeCells>
  <conditionalFormatting sqref="A5:G104">
    <cfRule type="expression" priority="2" aboveAverage="0" equalAverage="0" bottom="0" percent="0" rank="0" text="" dxfId="22">
      <formula>MOD(ROW(),2)=0</formula>
    </cfRule>
  </conditionalFormatting>
  <dataValidations count="1">
    <dataValidation allowBlank="true" errorStyle="stop" operator="between" showDropDown="false" showErrorMessage="false" showInputMessage="false" sqref="F5:F104" type="list">
      <formula1>lst_Categorias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31.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10" t="s">
        <v>32</v>
      </c>
      <c r="B4" s="10" t="s">
        <v>11</v>
      </c>
      <c r="C4" s="10" t="s">
        <v>33</v>
      </c>
      <c r="D4" s="10" t="s">
        <v>34</v>
      </c>
      <c r="E4" s="10" t="s">
        <v>35</v>
      </c>
      <c r="F4" s="10" t="s">
        <v>89</v>
      </c>
      <c r="G4" s="10" t="s">
        <v>37</v>
      </c>
      <c r="H4" s="10" t="s">
        <v>90</v>
      </c>
      <c r="I4" s="10" t="s">
        <v>15</v>
      </c>
      <c r="J4" s="10" t="s">
        <v>91</v>
      </c>
      <c r="K4" s="10" t="s">
        <v>66</v>
      </c>
    </row>
    <row r="5" customFormat="false" ht="21.75" hidden="false" customHeight="true" outlineLevel="0" collapsed="false">
      <c r="A5" s="17"/>
      <c r="B5" s="18"/>
      <c r="C5" s="18"/>
      <c r="D5" s="18"/>
      <c r="E5" s="18"/>
      <c r="F5" s="19"/>
      <c r="G5" s="19"/>
      <c r="H5" s="19"/>
      <c r="I5" s="17"/>
      <c r="J5" s="18"/>
      <c r="K5" s="18"/>
    </row>
    <row r="6" customFormat="false" ht="21.75" hidden="false" customHeight="true" outlineLevel="0" collapsed="false">
      <c r="A6" s="17"/>
      <c r="B6" s="18"/>
      <c r="C6" s="18"/>
      <c r="D6" s="18"/>
      <c r="E6" s="18"/>
      <c r="F6" s="19"/>
      <c r="G6" s="19"/>
      <c r="H6" s="19"/>
      <c r="I6" s="17"/>
      <c r="J6" s="18"/>
      <c r="K6" s="18"/>
    </row>
    <row r="7" customFormat="false" ht="21.75" hidden="false" customHeight="true" outlineLevel="0" collapsed="false">
      <c r="A7" s="17"/>
      <c r="B7" s="18"/>
      <c r="C7" s="18"/>
      <c r="D7" s="18"/>
      <c r="E7" s="18"/>
      <c r="F7" s="19"/>
      <c r="G7" s="19"/>
      <c r="H7" s="19"/>
      <c r="I7" s="17"/>
      <c r="J7" s="18"/>
      <c r="K7" s="18"/>
    </row>
    <row r="8" customFormat="false" ht="21.75" hidden="false" customHeight="true" outlineLevel="0" collapsed="false">
      <c r="A8" s="17"/>
      <c r="B8" s="18"/>
      <c r="C8" s="18"/>
      <c r="D8" s="18"/>
      <c r="E8" s="18"/>
      <c r="F8" s="19"/>
      <c r="G8" s="19"/>
      <c r="H8" s="19"/>
      <c r="I8" s="17"/>
      <c r="J8" s="18"/>
      <c r="K8" s="18"/>
    </row>
    <row r="9" customFormat="false" ht="21.75" hidden="false" customHeight="true" outlineLevel="0" collapsed="false">
      <c r="A9" s="17"/>
      <c r="B9" s="18"/>
      <c r="C9" s="18"/>
      <c r="D9" s="18"/>
      <c r="E9" s="18"/>
      <c r="F9" s="19"/>
      <c r="G9" s="19"/>
      <c r="H9" s="19"/>
      <c r="I9" s="17"/>
      <c r="J9" s="18"/>
      <c r="K9" s="18"/>
    </row>
    <row r="10" customFormat="false" ht="21.75" hidden="false" customHeight="true" outlineLevel="0" collapsed="false">
      <c r="A10" s="17"/>
      <c r="B10" s="18"/>
      <c r="C10" s="18"/>
      <c r="D10" s="18"/>
      <c r="E10" s="18"/>
      <c r="F10" s="19"/>
      <c r="G10" s="19"/>
      <c r="H10" s="19"/>
      <c r="I10" s="17"/>
      <c r="J10" s="18"/>
      <c r="K10" s="18"/>
    </row>
    <row r="11" customFormat="false" ht="21.75" hidden="false" customHeight="true" outlineLevel="0" collapsed="false">
      <c r="A11" s="17"/>
      <c r="B11" s="18"/>
      <c r="C11" s="18"/>
      <c r="D11" s="18"/>
      <c r="E11" s="18"/>
      <c r="F11" s="19"/>
      <c r="G11" s="19"/>
      <c r="H11" s="19"/>
      <c r="I11" s="17"/>
      <c r="J11" s="18"/>
      <c r="K11" s="18"/>
    </row>
    <row r="12" customFormat="false" ht="21.75" hidden="false" customHeight="true" outlineLevel="0" collapsed="false">
      <c r="A12" s="17"/>
      <c r="B12" s="18"/>
      <c r="C12" s="18"/>
      <c r="D12" s="18"/>
      <c r="E12" s="18"/>
      <c r="F12" s="19"/>
      <c r="G12" s="19"/>
      <c r="H12" s="19"/>
      <c r="I12" s="17"/>
      <c r="J12" s="18"/>
      <c r="K12" s="18"/>
    </row>
    <row r="13" customFormat="false" ht="21.75" hidden="false" customHeight="true" outlineLevel="0" collapsed="false">
      <c r="A13" s="17"/>
      <c r="B13" s="18"/>
      <c r="C13" s="18"/>
      <c r="D13" s="18"/>
      <c r="E13" s="18"/>
      <c r="F13" s="19"/>
      <c r="G13" s="19"/>
      <c r="H13" s="19"/>
      <c r="I13" s="17"/>
      <c r="J13" s="18"/>
      <c r="K13" s="18"/>
    </row>
    <row r="14" customFormat="false" ht="21.75" hidden="false" customHeight="true" outlineLevel="0" collapsed="false">
      <c r="A14" s="17"/>
      <c r="B14" s="18"/>
      <c r="C14" s="18"/>
      <c r="D14" s="18"/>
      <c r="E14" s="18"/>
      <c r="F14" s="19"/>
      <c r="G14" s="19"/>
      <c r="H14" s="19"/>
      <c r="I14" s="17"/>
      <c r="J14" s="18"/>
      <c r="K14" s="18"/>
    </row>
    <row r="15" customFormat="false" ht="21.75" hidden="false" customHeight="true" outlineLevel="0" collapsed="false">
      <c r="A15" s="17"/>
      <c r="B15" s="18"/>
      <c r="C15" s="18"/>
      <c r="D15" s="18"/>
      <c r="E15" s="18"/>
      <c r="F15" s="19"/>
      <c r="G15" s="19"/>
      <c r="H15" s="19"/>
      <c r="I15" s="17"/>
      <c r="J15" s="18"/>
      <c r="K15" s="18"/>
    </row>
    <row r="16" customFormat="false" ht="21.75" hidden="false" customHeight="true" outlineLevel="0" collapsed="false">
      <c r="A16" s="17"/>
      <c r="B16" s="18"/>
      <c r="C16" s="18"/>
      <c r="D16" s="18"/>
      <c r="E16" s="18"/>
      <c r="F16" s="19"/>
      <c r="G16" s="19"/>
      <c r="H16" s="19"/>
      <c r="I16" s="17"/>
      <c r="J16" s="18"/>
      <c r="K16" s="18"/>
    </row>
    <row r="17" customFormat="false" ht="21.75" hidden="false" customHeight="true" outlineLevel="0" collapsed="false">
      <c r="A17" s="17"/>
      <c r="B17" s="18"/>
      <c r="C17" s="18"/>
      <c r="D17" s="18"/>
      <c r="E17" s="18"/>
      <c r="F17" s="19"/>
      <c r="G17" s="19"/>
      <c r="H17" s="19"/>
      <c r="I17" s="17"/>
      <c r="J17" s="18"/>
      <c r="K17" s="18"/>
    </row>
    <row r="18" customFormat="false" ht="21.75" hidden="false" customHeight="true" outlineLevel="0" collapsed="false">
      <c r="A18" s="17"/>
      <c r="B18" s="18"/>
      <c r="C18" s="18"/>
      <c r="D18" s="18"/>
      <c r="E18" s="18"/>
      <c r="F18" s="19"/>
      <c r="G18" s="19"/>
      <c r="H18" s="19"/>
      <c r="I18" s="17"/>
      <c r="J18" s="18"/>
      <c r="K18" s="18"/>
    </row>
    <row r="19" customFormat="false" ht="21.75" hidden="false" customHeight="true" outlineLevel="0" collapsed="false">
      <c r="A19" s="17"/>
      <c r="B19" s="18"/>
      <c r="C19" s="18"/>
      <c r="D19" s="18"/>
      <c r="E19" s="18"/>
      <c r="F19" s="19"/>
      <c r="G19" s="19"/>
      <c r="H19" s="19"/>
      <c r="I19" s="17"/>
      <c r="J19" s="18"/>
      <c r="K19" s="18"/>
    </row>
    <row r="20" customFormat="false" ht="21.75" hidden="false" customHeight="true" outlineLevel="0" collapsed="false">
      <c r="A20" s="17"/>
      <c r="B20" s="18"/>
      <c r="C20" s="18"/>
      <c r="D20" s="18"/>
      <c r="E20" s="18"/>
      <c r="F20" s="19"/>
      <c r="G20" s="19"/>
      <c r="H20" s="19"/>
      <c r="I20" s="17"/>
      <c r="J20" s="18"/>
      <c r="K20" s="18"/>
    </row>
    <row r="21" customFormat="false" ht="21.75" hidden="false" customHeight="true" outlineLevel="0" collapsed="false">
      <c r="A21" s="17"/>
      <c r="B21" s="18"/>
      <c r="C21" s="18"/>
      <c r="D21" s="18"/>
      <c r="E21" s="18"/>
      <c r="F21" s="19"/>
      <c r="G21" s="19"/>
      <c r="H21" s="19"/>
      <c r="I21" s="17"/>
      <c r="J21" s="18"/>
      <c r="K21" s="18"/>
    </row>
    <row r="22" customFormat="false" ht="21.75" hidden="false" customHeight="true" outlineLevel="0" collapsed="false">
      <c r="A22" s="17"/>
      <c r="B22" s="18"/>
      <c r="C22" s="18"/>
      <c r="D22" s="18"/>
      <c r="E22" s="18"/>
      <c r="F22" s="19"/>
      <c r="G22" s="19"/>
      <c r="H22" s="19"/>
      <c r="I22" s="17"/>
      <c r="J22" s="18"/>
      <c r="K22" s="18"/>
    </row>
    <row r="23" customFormat="false" ht="21.75" hidden="false" customHeight="true" outlineLevel="0" collapsed="false">
      <c r="A23" s="17"/>
      <c r="B23" s="18"/>
      <c r="C23" s="18"/>
      <c r="D23" s="18"/>
      <c r="E23" s="18"/>
      <c r="F23" s="19"/>
      <c r="G23" s="19"/>
      <c r="H23" s="19"/>
      <c r="I23" s="17"/>
      <c r="J23" s="18"/>
      <c r="K23" s="18"/>
    </row>
    <row r="24" customFormat="false" ht="21.75" hidden="false" customHeight="true" outlineLevel="0" collapsed="false">
      <c r="A24" s="17"/>
      <c r="B24" s="18"/>
      <c r="C24" s="18"/>
      <c r="D24" s="18"/>
      <c r="E24" s="18"/>
      <c r="F24" s="19"/>
      <c r="G24" s="19"/>
      <c r="H24" s="19"/>
      <c r="I24" s="17"/>
      <c r="J24" s="18"/>
      <c r="K24" s="18"/>
    </row>
    <row r="25" customFormat="false" ht="21.75" hidden="false" customHeight="true" outlineLevel="0" collapsed="false">
      <c r="A25" s="17"/>
      <c r="B25" s="18"/>
      <c r="C25" s="18"/>
      <c r="D25" s="18"/>
      <c r="E25" s="18"/>
      <c r="F25" s="19"/>
      <c r="G25" s="19"/>
      <c r="H25" s="19"/>
      <c r="I25" s="17"/>
      <c r="J25" s="18"/>
      <c r="K25" s="18"/>
    </row>
    <row r="26" customFormat="false" ht="21.75" hidden="false" customHeight="true" outlineLevel="0" collapsed="false">
      <c r="A26" s="17"/>
      <c r="B26" s="18"/>
      <c r="C26" s="18"/>
      <c r="D26" s="18"/>
      <c r="E26" s="18"/>
      <c r="F26" s="19"/>
      <c r="G26" s="19"/>
      <c r="H26" s="19"/>
      <c r="I26" s="17"/>
      <c r="J26" s="18"/>
      <c r="K26" s="18"/>
    </row>
    <row r="27" customFormat="false" ht="21.75" hidden="false" customHeight="true" outlineLevel="0" collapsed="false">
      <c r="A27" s="17"/>
      <c r="B27" s="18"/>
      <c r="C27" s="18"/>
      <c r="D27" s="18"/>
      <c r="E27" s="18"/>
      <c r="F27" s="19"/>
      <c r="G27" s="19"/>
      <c r="H27" s="19"/>
      <c r="I27" s="17"/>
      <c r="J27" s="18"/>
      <c r="K27" s="18"/>
    </row>
    <row r="28" customFormat="false" ht="21.75" hidden="false" customHeight="true" outlineLevel="0" collapsed="false">
      <c r="A28" s="17"/>
      <c r="B28" s="18"/>
      <c r="C28" s="18"/>
      <c r="D28" s="18"/>
      <c r="E28" s="18"/>
      <c r="F28" s="19"/>
      <c r="G28" s="19"/>
      <c r="H28" s="19"/>
      <c r="I28" s="17"/>
      <c r="J28" s="18"/>
      <c r="K28" s="18"/>
    </row>
    <row r="29" customFormat="false" ht="21.75" hidden="false" customHeight="true" outlineLevel="0" collapsed="false">
      <c r="A29" s="17"/>
      <c r="B29" s="18"/>
      <c r="C29" s="18"/>
      <c r="D29" s="18"/>
      <c r="E29" s="18"/>
      <c r="F29" s="19"/>
      <c r="G29" s="19"/>
      <c r="H29" s="19"/>
      <c r="I29" s="17"/>
      <c r="J29" s="18"/>
      <c r="K29" s="18"/>
    </row>
    <row r="30" customFormat="false" ht="21.75" hidden="false" customHeight="true" outlineLevel="0" collapsed="false">
      <c r="A30" s="17"/>
      <c r="B30" s="18"/>
      <c r="C30" s="18"/>
      <c r="D30" s="18"/>
      <c r="E30" s="18"/>
      <c r="F30" s="19"/>
      <c r="G30" s="19"/>
      <c r="H30" s="19"/>
      <c r="I30" s="17"/>
      <c r="J30" s="18"/>
      <c r="K30" s="18"/>
    </row>
    <row r="31" customFormat="false" ht="21.75" hidden="false" customHeight="true" outlineLevel="0" collapsed="false">
      <c r="A31" s="17"/>
      <c r="B31" s="18"/>
      <c r="C31" s="18"/>
      <c r="D31" s="18"/>
      <c r="E31" s="18"/>
      <c r="F31" s="19"/>
      <c r="G31" s="19"/>
      <c r="H31" s="19"/>
      <c r="I31" s="17"/>
      <c r="J31" s="18"/>
      <c r="K31" s="18"/>
    </row>
    <row r="32" customFormat="false" ht="21.75" hidden="false" customHeight="true" outlineLevel="0" collapsed="false">
      <c r="A32" s="17"/>
      <c r="B32" s="18"/>
      <c r="C32" s="18"/>
      <c r="D32" s="18"/>
      <c r="E32" s="18"/>
      <c r="F32" s="19"/>
      <c r="G32" s="19"/>
      <c r="H32" s="19"/>
      <c r="I32" s="17"/>
      <c r="J32" s="18"/>
      <c r="K32" s="18"/>
    </row>
    <row r="33" customFormat="false" ht="21.75" hidden="false" customHeight="true" outlineLevel="0" collapsed="false">
      <c r="A33" s="17"/>
      <c r="B33" s="18"/>
      <c r="C33" s="18"/>
      <c r="D33" s="18"/>
      <c r="E33" s="18"/>
      <c r="F33" s="19"/>
      <c r="G33" s="19"/>
      <c r="H33" s="19"/>
      <c r="I33" s="17"/>
      <c r="J33" s="18"/>
      <c r="K33" s="18"/>
    </row>
    <row r="34" customFormat="false" ht="21.75" hidden="false" customHeight="true" outlineLevel="0" collapsed="false">
      <c r="A34" s="17"/>
      <c r="B34" s="18"/>
      <c r="C34" s="18"/>
      <c r="D34" s="18"/>
      <c r="E34" s="18"/>
      <c r="F34" s="19"/>
      <c r="G34" s="19"/>
      <c r="H34" s="19"/>
      <c r="I34" s="17"/>
      <c r="J34" s="18"/>
      <c r="K34" s="18"/>
    </row>
    <row r="35" customFormat="false" ht="21.75" hidden="false" customHeight="true" outlineLevel="0" collapsed="false">
      <c r="A35" s="17"/>
      <c r="B35" s="18"/>
      <c r="C35" s="18"/>
      <c r="D35" s="18"/>
      <c r="E35" s="18"/>
      <c r="F35" s="19"/>
      <c r="G35" s="19"/>
      <c r="H35" s="19"/>
      <c r="I35" s="17"/>
      <c r="J35" s="18"/>
      <c r="K35" s="18"/>
    </row>
    <row r="36" customFormat="false" ht="21.75" hidden="false" customHeight="true" outlineLevel="0" collapsed="false">
      <c r="A36" s="17"/>
      <c r="B36" s="18"/>
      <c r="C36" s="18"/>
      <c r="D36" s="18"/>
      <c r="E36" s="18"/>
      <c r="F36" s="19"/>
      <c r="G36" s="19"/>
      <c r="H36" s="19"/>
      <c r="I36" s="17"/>
      <c r="J36" s="18"/>
      <c r="K36" s="18"/>
    </row>
    <row r="37" customFormat="false" ht="21.75" hidden="false" customHeight="true" outlineLevel="0" collapsed="false">
      <c r="A37" s="17"/>
      <c r="B37" s="18"/>
      <c r="C37" s="18"/>
      <c r="D37" s="18"/>
      <c r="E37" s="18"/>
      <c r="F37" s="19"/>
      <c r="G37" s="19"/>
      <c r="H37" s="19"/>
      <c r="I37" s="17"/>
      <c r="J37" s="18"/>
      <c r="K37" s="18"/>
    </row>
    <row r="38" customFormat="false" ht="21.75" hidden="false" customHeight="true" outlineLevel="0" collapsed="false">
      <c r="A38" s="17"/>
      <c r="B38" s="18"/>
      <c r="C38" s="18"/>
      <c r="D38" s="18"/>
      <c r="E38" s="18"/>
      <c r="F38" s="19"/>
      <c r="G38" s="19"/>
      <c r="H38" s="19"/>
      <c r="I38" s="17"/>
      <c r="J38" s="18"/>
      <c r="K38" s="18"/>
    </row>
    <row r="39" customFormat="false" ht="21.75" hidden="false" customHeight="true" outlineLevel="0" collapsed="false">
      <c r="A39" s="17"/>
      <c r="B39" s="18"/>
      <c r="C39" s="18"/>
      <c r="D39" s="18"/>
      <c r="E39" s="18"/>
      <c r="F39" s="19"/>
      <c r="G39" s="19"/>
      <c r="H39" s="19"/>
      <c r="I39" s="17"/>
      <c r="J39" s="18"/>
      <c r="K39" s="18"/>
    </row>
    <row r="40" customFormat="false" ht="21.75" hidden="false" customHeight="true" outlineLevel="0" collapsed="false">
      <c r="A40" s="17"/>
      <c r="B40" s="18"/>
      <c r="C40" s="18"/>
      <c r="D40" s="18"/>
      <c r="E40" s="18"/>
      <c r="F40" s="19"/>
      <c r="G40" s="19"/>
      <c r="H40" s="19"/>
      <c r="I40" s="17"/>
      <c r="J40" s="18"/>
      <c r="K40" s="18"/>
    </row>
    <row r="41" customFormat="false" ht="21.75" hidden="false" customHeight="true" outlineLevel="0" collapsed="false">
      <c r="A41" s="17"/>
      <c r="B41" s="18"/>
      <c r="C41" s="18"/>
      <c r="D41" s="18"/>
      <c r="E41" s="18"/>
      <c r="F41" s="19"/>
      <c r="G41" s="19"/>
      <c r="H41" s="19"/>
      <c r="I41" s="17"/>
      <c r="J41" s="18"/>
      <c r="K41" s="18"/>
    </row>
    <row r="42" customFormat="false" ht="21.75" hidden="false" customHeight="true" outlineLevel="0" collapsed="false">
      <c r="A42" s="17"/>
      <c r="B42" s="18"/>
      <c r="C42" s="18"/>
      <c r="D42" s="18"/>
      <c r="E42" s="18"/>
      <c r="F42" s="19"/>
      <c r="G42" s="19"/>
      <c r="H42" s="19"/>
      <c r="I42" s="17"/>
      <c r="J42" s="18"/>
      <c r="K42" s="18"/>
    </row>
    <row r="43" customFormat="false" ht="21.75" hidden="false" customHeight="true" outlineLevel="0" collapsed="false">
      <c r="A43" s="17"/>
      <c r="B43" s="18"/>
      <c r="C43" s="18"/>
      <c r="D43" s="18"/>
      <c r="E43" s="18"/>
      <c r="F43" s="19"/>
      <c r="G43" s="19"/>
      <c r="H43" s="19"/>
      <c r="I43" s="17"/>
      <c r="J43" s="18"/>
      <c r="K43" s="18"/>
    </row>
    <row r="44" customFormat="false" ht="21.75" hidden="false" customHeight="true" outlineLevel="0" collapsed="false">
      <c r="A44" s="17"/>
      <c r="B44" s="18"/>
      <c r="C44" s="18"/>
      <c r="D44" s="18"/>
      <c r="E44" s="18"/>
      <c r="F44" s="19"/>
      <c r="G44" s="19"/>
      <c r="H44" s="19"/>
      <c r="I44" s="17"/>
      <c r="J44" s="18"/>
      <c r="K44" s="18"/>
    </row>
    <row r="45" customFormat="false" ht="21.75" hidden="false" customHeight="true" outlineLevel="0" collapsed="false">
      <c r="A45" s="17"/>
      <c r="B45" s="18"/>
      <c r="C45" s="18"/>
      <c r="D45" s="18"/>
      <c r="E45" s="18"/>
      <c r="F45" s="19"/>
      <c r="G45" s="19"/>
      <c r="H45" s="19"/>
      <c r="I45" s="17"/>
      <c r="J45" s="18"/>
      <c r="K45" s="18"/>
    </row>
    <row r="46" customFormat="false" ht="21.75" hidden="false" customHeight="true" outlineLevel="0" collapsed="false">
      <c r="A46" s="17"/>
      <c r="B46" s="18"/>
      <c r="C46" s="18"/>
      <c r="D46" s="18"/>
      <c r="E46" s="18"/>
      <c r="F46" s="19"/>
      <c r="G46" s="19"/>
      <c r="H46" s="19"/>
      <c r="I46" s="17"/>
      <c r="J46" s="18"/>
      <c r="K46" s="18"/>
    </row>
    <row r="47" customFormat="false" ht="21.75" hidden="false" customHeight="true" outlineLevel="0" collapsed="false">
      <c r="A47" s="17"/>
      <c r="B47" s="18"/>
      <c r="C47" s="18"/>
      <c r="D47" s="18"/>
      <c r="E47" s="18"/>
      <c r="F47" s="19"/>
      <c r="G47" s="19"/>
      <c r="H47" s="19"/>
      <c r="I47" s="17"/>
      <c r="J47" s="18"/>
      <c r="K47" s="18"/>
    </row>
    <row r="48" customFormat="false" ht="21.75" hidden="false" customHeight="true" outlineLevel="0" collapsed="false">
      <c r="A48" s="17"/>
      <c r="B48" s="18"/>
      <c r="C48" s="18"/>
      <c r="D48" s="18"/>
      <c r="E48" s="18"/>
      <c r="F48" s="19"/>
      <c r="G48" s="19"/>
      <c r="H48" s="19"/>
      <c r="I48" s="17"/>
      <c r="J48" s="18"/>
      <c r="K48" s="18"/>
    </row>
    <row r="49" customFormat="false" ht="21.75" hidden="false" customHeight="true" outlineLevel="0" collapsed="false">
      <c r="A49" s="17"/>
      <c r="B49" s="18"/>
      <c r="C49" s="18"/>
      <c r="D49" s="18"/>
      <c r="E49" s="18"/>
      <c r="F49" s="19"/>
      <c r="G49" s="19"/>
      <c r="H49" s="19"/>
      <c r="I49" s="17"/>
      <c r="J49" s="18"/>
      <c r="K49" s="18"/>
    </row>
    <row r="50" customFormat="false" ht="21.75" hidden="false" customHeight="true" outlineLevel="0" collapsed="false">
      <c r="A50" s="17"/>
      <c r="B50" s="18"/>
      <c r="C50" s="18"/>
      <c r="D50" s="18"/>
      <c r="E50" s="18"/>
      <c r="F50" s="19"/>
      <c r="G50" s="19"/>
      <c r="H50" s="19"/>
      <c r="I50" s="17"/>
      <c r="J50" s="18"/>
      <c r="K50" s="18"/>
    </row>
    <row r="51" customFormat="false" ht="21.75" hidden="false" customHeight="true" outlineLevel="0" collapsed="false">
      <c r="A51" s="17"/>
      <c r="B51" s="18"/>
      <c r="C51" s="18"/>
      <c r="D51" s="18"/>
      <c r="E51" s="18"/>
      <c r="F51" s="19"/>
      <c r="G51" s="19"/>
      <c r="H51" s="19"/>
      <c r="I51" s="17"/>
      <c r="J51" s="18"/>
      <c r="K51" s="18"/>
    </row>
    <row r="52" customFormat="false" ht="21.75" hidden="false" customHeight="true" outlineLevel="0" collapsed="false">
      <c r="A52" s="17"/>
      <c r="B52" s="18"/>
      <c r="C52" s="18"/>
      <c r="D52" s="18"/>
      <c r="E52" s="18"/>
      <c r="F52" s="19"/>
      <c r="G52" s="19"/>
      <c r="H52" s="19"/>
      <c r="I52" s="17"/>
      <c r="J52" s="18"/>
      <c r="K52" s="18"/>
    </row>
    <row r="53" customFormat="false" ht="21.75" hidden="false" customHeight="true" outlineLevel="0" collapsed="false">
      <c r="A53" s="17"/>
      <c r="B53" s="18"/>
      <c r="C53" s="18"/>
      <c r="D53" s="18"/>
      <c r="E53" s="18"/>
      <c r="F53" s="19"/>
      <c r="G53" s="19"/>
      <c r="H53" s="19"/>
      <c r="I53" s="17"/>
      <c r="J53" s="18"/>
      <c r="K53" s="18"/>
    </row>
    <row r="54" customFormat="false" ht="21.75" hidden="false" customHeight="true" outlineLevel="0" collapsed="false">
      <c r="A54" s="17"/>
      <c r="B54" s="18"/>
      <c r="C54" s="18"/>
      <c r="D54" s="18"/>
      <c r="E54" s="18"/>
      <c r="F54" s="19"/>
      <c r="G54" s="19"/>
      <c r="H54" s="19"/>
      <c r="I54" s="17"/>
      <c r="J54" s="18"/>
      <c r="K54" s="18"/>
    </row>
    <row r="55" customFormat="false" ht="21.75" hidden="false" customHeight="true" outlineLevel="0" collapsed="false">
      <c r="A55" s="17"/>
      <c r="B55" s="18"/>
      <c r="C55" s="18"/>
      <c r="D55" s="18"/>
      <c r="E55" s="18"/>
      <c r="F55" s="19"/>
      <c r="G55" s="19"/>
      <c r="H55" s="19"/>
      <c r="I55" s="17"/>
      <c r="J55" s="18"/>
      <c r="K55" s="18"/>
    </row>
    <row r="56" customFormat="false" ht="21.75" hidden="false" customHeight="true" outlineLevel="0" collapsed="false">
      <c r="A56" s="17"/>
      <c r="B56" s="18"/>
      <c r="C56" s="18"/>
      <c r="D56" s="18"/>
      <c r="E56" s="18"/>
      <c r="F56" s="19"/>
      <c r="G56" s="19"/>
      <c r="H56" s="19"/>
      <c r="I56" s="17"/>
      <c r="J56" s="18"/>
      <c r="K56" s="18"/>
    </row>
    <row r="57" customFormat="false" ht="21.75" hidden="false" customHeight="true" outlineLevel="0" collapsed="false">
      <c r="A57" s="17"/>
      <c r="B57" s="18"/>
      <c r="C57" s="18"/>
      <c r="D57" s="18"/>
      <c r="E57" s="18"/>
      <c r="F57" s="19"/>
      <c r="G57" s="19"/>
      <c r="H57" s="19"/>
      <c r="I57" s="17"/>
      <c r="J57" s="18"/>
      <c r="K57" s="18"/>
    </row>
    <row r="58" customFormat="false" ht="21.75" hidden="false" customHeight="true" outlineLevel="0" collapsed="false">
      <c r="A58" s="17"/>
      <c r="B58" s="18"/>
      <c r="C58" s="18"/>
      <c r="D58" s="18"/>
      <c r="E58" s="18"/>
      <c r="F58" s="19"/>
      <c r="G58" s="19"/>
      <c r="H58" s="19"/>
      <c r="I58" s="17"/>
      <c r="J58" s="18"/>
      <c r="K58" s="18"/>
    </row>
    <row r="59" customFormat="false" ht="21.75" hidden="false" customHeight="true" outlineLevel="0" collapsed="false">
      <c r="A59" s="17"/>
      <c r="B59" s="18"/>
      <c r="C59" s="18"/>
      <c r="D59" s="18"/>
      <c r="E59" s="18"/>
      <c r="F59" s="19"/>
      <c r="G59" s="19"/>
      <c r="H59" s="19"/>
      <c r="I59" s="17"/>
      <c r="J59" s="18"/>
      <c r="K59" s="18"/>
    </row>
    <row r="60" customFormat="false" ht="21.75" hidden="false" customHeight="true" outlineLevel="0" collapsed="false">
      <c r="A60" s="17"/>
      <c r="B60" s="18"/>
      <c r="C60" s="18"/>
      <c r="D60" s="18"/>
      <c r="E60" s="18"/>
      <c r="F60" s="19"/>
      <c r="G60" s="19"/>
      <c r="H60" s="19"/>
      <c r="I60" s="17"/>
      <c r="J60" s="18"/>
      <c r="K60" s="18"/>
    </row>
    <row r="61" customFormat="false" ht="21.75" hidden="false" customHeight="true" outlineLevel="0" collapsed="false">
      <c r="A61" s="17"/>
      <c r="B61" s="18"/>
      <c r="C61" s="18"/>
      <c r="D61" s="18"/>
      <c r="E61" s="18"/>
      <c r="F61" s="19"/>
      <c r="G61" s="19"/>
      <c r="H61" s="19"/>
      <c r="I61" s="17"/>
      <c r="J61" s="18"/>
      <c r="K61" s="18"/>
    </row>
    <row r="62" customFormat="false" ht="21.75" hidden="false" customHeight="true" outlineLevel="0" collapsed="false">
      <c r="A62" s="17"/>
      <c r="B62" s="18"/>
      <c r="C62" s="18"/>
      <c r="D62" s="18"/>
      <c r="E62" s="18"/>
      <c r="F62" s="19"/>
      <c r="G62" s="19"/>
      <c r="H62" s="19"/>
      <c r="I62" s="17"/>
      <c r="J62" s="18"/>
      <c r="K62" s="18"/>
    </row>
    <row r="63" customFormat="false" ht="21.75" hidden="false" customHeight="true" outlineLevel="0" collapsed="false">
      <c r="A63" s="17"/>
      <c r="B63" s="18"/>
      <c r="C63" s="18"/>
      <c r="D63" s="18"/>
      <c r="E63" s="18"/>
      <c r="F63" s="19"/>
      <c r="G63" s="19"/>
      <c r="H63" s="19"/>
      <c r="I63" s="17"/>
      <c r="J63" s="18"/>
      <c r="K63" s="18"/>
    </row>
    <row r="64" customFormat="false" ht="21.75" hidden="false" customHeight="true" outlineLevel="0" collapsed="false">
      <c r="A64" s="17"/>
      <c r="B64" s="18"/>
      <c r="C64" s="18"/>
      <c r="D64" s="18"/>
      <c r="E64" s="18"/>
      <c r="F64" s="19"/>
      <c r="G64" s="19"/>
      <c r="H64" s="19"/>
      <c r="I64" s="17"/>
      <c r="J64" s="18"/>
      <c r="K64" s="18"/>
    </row>
    <row r="65" customFormat="false" ht="21.75" hidden="false" customHeight="true" outlineLevel="0" collapsed="false">
      <c r="A65" s="17"/>
      <c r="B65" s="18"/>
      <c r="C65" s="18"/>
      <c r="D65" s="18"/>
      <c r="E65" s="18"/>
      <c r="F65" s="19"/>
      <c r="G65" s="19"/>
      <c r="H65" s="19"/>
      <c r="I65" s="17"/>
      <c r="J65" s="18"/>
      <c r="K65" s="18"/>
    </row>
    <row r="66" customFormat="false" ht="21.75" hidden="false" customHeight="true" outlineLevel="0" collapsed="false">
      <c r="A66" s="17"/>
      <c r="B66" s="18"/>
      <c r="C66" s="18"/>
      <c r="D66" s="18"/>
      <c r="E66" s="18"/>
      <c r="F66" s="19"/>
      <c r="G66" s="19"/>
      <c r="H66" s="19"/>
      <c r="I66" s="17"/>
      <c r="J66" s="18"/>
      <c r="K66" s="18"/>
    </row>
    <row r="67" customFormat="false" ht="21.75" hidden="false" customHeight="true" outlineLevel="0" collapsed="false">
      <c r="A67" s="17"/>
      <c r="B67" s="18"/>
      <c r="C67" s="18"/>
      <c r="D67" s="18"/>
      <c r="E67" s="18"/>
      <c r="F67" s="19"/>
      <c r="G67" s="19"/>
      <c r="H67" s="19"/>
      <c r="I67" s="17"/>
      <c r="J67" s="18"/>
      <c r="K67" s="18"/>
    </row>
    <row r="68" customFormat="false" ht="21.75" hidden="false" customHeight="true" outlineLevel="0" collapsed="false">
      <c r="A68" s="17"/>
      <c r="B68" s="18"/>
      <c r="C68" s="18"/>
      <c r="D68" s="18"/>
      <c r="E68" s="18"/>
      <c r="F68" s="19"/>
      <c r="G68" s="19"/>
      <c r="H68" s="19"/>
      <c r="I68" s="17"/>
      <c r="J68" s="18"/>
      <c r="K68" s="18"/>
    </row>
    <row r="69" customFormat="false" ht="21.75" hidden="false" customHeight="true" outlineLevel="0" collapsed="false">
      <c r="A69" s="17"/>
      <c r="B69" s="18"/>
      <c r="C69" s="18"/>
      <c r="D69" s="18"/>
      <c r="E69" s="18"/>
      <c r="F69" s="19"/>
      <c r="G69" s="19"/>
      <c r="H69" s="19"/>
      <c r="I69" s="17"/>
      <c r="J69" s="18"/>
      <c r="K69" s="18"/>
    </row>
    <row r="70" customFormat="false" ht="21.75" hidden="false" customHeight="true" outlineLevel="0" collapsed="false">
      <c r="A70" s="17"/>
      <c r="B70" s="18"/>
      <c r="C70" s="18"/>
      <c r="D70" s="18"/>
      <c r="E70" s="18"/>
      <c r="F70" s="19"/>
      <c r="G70" s="19"/>
      <c r="H70" s="19"/>
      <c r="I70" s="17"/>
      <c r="J70" s="18"/>
      <c r="K70" s="18"/>
    </row>
    <row r="71" customFormat="false" ht="21.75" hidden="false" customHeight="true" outlineLevel="0" collapsed="false">
      <c r="A71" s="17"/>
      <c r="B71" s="18"/>
      <c r="C71" s="18"/>
      <c r="D71" s="18"/>
      <c r="E71" s="18"/>
      <c r="F71" s="19"/>
      <c r="G71" s="19"/>
      <c r="H71" s="19"/>
      <c r="I71" s="17"/>
      <c r="J71" s="18"/>
      <c r="K71" s="18"/>
    </row>
    <row r="72" customFormat="false" ht="21.75" hidden="false" customHeight="true" outlineLevel="0" collapsed="false">
      <c r="A72" s="17"/>
      <c r="B72" s="18"/>
      <c r="C72" s="18"/>
      <c r="D72" s="18"/>
      <c r="E72" s="18"/>
      <c r="F72" s="19"/>
      <c r="G72" s="19"/>
      <c r="H72" s="19"/>
      <c r="I72" s="17"/>
      <c r="J72" s="18"/>
      <c r="K72" s="18"/>
    </row>
    <row r="73" customFormat="false" ht="21.75" hidden="false" customHeight="true" outlineLevel="0" collapsed="false">
      <c r="A73" s="17"/>
      <c r="B73" s="18"/>
      <c r="C73" s="18"/>
      <c r="D73" s="18"/>
      <c r="E73" s="18"/>
      <c r="F73" s="19"/>
      <c r="G73" s="19"/>
      <c r="H73" s="19"/>
      <c r="I73" s="17"/>
      <c r="J73" s="18"/>
      <c r="K73" s="18"/>
    </row>
    <row r="74" customFormat="false" ht="21.75" hidden="false" customHeight="true" outlineLevel="0" collapsed="false">
      <c r="A74" s="17"/>
      <c r="B74" s="18"/>
      <c r="C74" s="18"/>
      <c r="D74" s="18"/>
      <c r="E74" s="18"/>
      <c r="F74" s="19"/>
      <c r="G74" s="19"/>
      <c r="H74" s="19"/>
      <c r="I74" s="17"/>
      <c r="J74" s="18"/>
      <c r="K74" s="18"/>
    </row>
    <row r="75" customFormat="false" ht="21.75" hidden="false" customHeight="true" outlineLevel="0" collapsed="false">
      <c r="A75" s="17"/>
      <c r="B75" s="18"/>
      <c r="C75" s="18"/>
      <c r="D75" s="18"/>
      <c r="E75" s="18"/>
      <c r="F75" s="19"/>
      <c r="G75" s="19"/>
      <c r="H75" s="19"/>
      <c r="I75" s="17"/>
      <c r="J75" s="18"/>
      <c r="K75" s="18"/>
    </row>
    <row r="76" customFormat="false" ht="21.75" hidden="false" customHeight="true" outlineLevel="0" collapsed="false">
      <c r="A76" s="17"/>
      <c r="B76" s="18"/>
      <c r="C76" s="18"/>
      <c r="D76" s="18"/>
      <c r="E76" s="18"/>
      <c r="F76" s="19"/>
      <c r="G76" s="19"/>
      <c r="H76" s="19"/>
      <c r="I76" s="17"/>
      <c r="J76" s="18"/>
      <c r="K76" s="18"/>
    </row>
    <row r="77" customFormat="false" ht="21.75" hidden="false" customHeight="true" outlineLevel="0" collapsed="false">
      <c r="A77" s="17"/>
      <c r="B77" s="18"/>
      <c r="C77" s="18"/>
      <c r="D77" s="18"/>
      <c r="E77" s="18"/>
      <c r="F77" s="19"/>
      <c r="G77" s="19"/>
      <c r="H77" s="19"/>
      <c r="I77" s="17"/>
      <c r="J77" s="18"/>
      <c r="K77" s="18"/>
    </row>
    <row r="78" customFormat="false" ht="21.75" hidden="false" customHeight="true" outlineLevel="0" collapsed="false">
      <c r="A78" s="17"/>
      <c r="B78" s="18"/>
      <c r="C78" s="18"/>
      <c r="D78" s="18"/>
      <c r="E78" s="18"/>
      <c r="F78" s="19"/>
      <c r="G78" s="19"/>
      <c r="H78" s="19"/>
      <c r="I78" s="17"/>
      <c r="J78" s="18"/>
      <c r="K78" s="18"/>
    </row>
    <row r="79" customFormat="false" ht="21.75" hidden="false" customHeight="true" outlineLevel="0" collapsed="false">
      <c r="A79" s="17"/>
      <c r="B79" s="18"/>
      <c r="C79" s="18"/>
      <c r="D79" s="18"/>
      <c r="E79" s="18"/>
      <c r="F79" s="19"/>
      <c r="G79" s="19"/>
      <c r="H79" s="19"/>
      <c r="I79" s="17"/>
      <c r="J79" s="18"/>
      <c r="K79" s="18"/>
    </row>
    <row r="80" customFormat="false" ht="21.75" hidden="false" customHeight="true" outlineLevel="0" collapsed="false">
      <c r="A80" s="17"/>
      <c r="B80" s="18"/>
      <c r="C80" s="18"/>
      <c r="D80" s="18"/>
      <c r="E80" s="18"/>
      <c r="F80" s="19"/>
      <c r="G80" s="19"/>
      <c r="H80" s="19"/>
      <c r="I80" s="17"/>
      <c r="J80" s="18"/>
      <c r="K80" s="18"/>
    </row>
    <row r="81" customFormat="false" ht="21.75" hidden="false" customHeight="true" outlineLevel="0" collapsed="false">
      <c r="A81" s="17"/>
      <c r="B81" s="18"/>
      <c r="C81" s="18"/>
      <c r="D81" s="18"/>
      <c r="E81" s="18"/>
      <c r="F81" s="19"/>
      <c r="G81" s="19"/>
      <c r="H81" s="19"/>
      <c r="I81" s="17"/>
      <c r="J81" s="18"/>
      <c r="K81" s="18"/>
    </row>
    <row r="82" customFormat="false" ht="21.75" hidden="false" customHeight="true" outlineLevel="0" collapsed="false">
      <c r="A82" s="17"/>
      <c r="B82" s="18"/>
      <c r="C82" s="18"/>
      <c r="D82" s="18"/>
      <c r="E82" s="18"/>
      <c r="F82" s="19"/>
      <c r="G82" s="19"/>
      <c r="H82" s="19"/>
      <c r="I82" s="17"/>
      <c r="J82" s="18"/>
      <c r="K82" s="18"/>
    </row>
    <row r="83" customFormat="false" ht="21.75" hidden="false" customHeight="true" outlineLevel="0" collapsed="false">
      <c r="A83" s="17"/>
      <c r="B83" s="18"/>
      <c r="C83" s="18"/>
      <c r="D83" s="18"/>
      <c r="E83" s="18"/>
      <c r="F83" s="19"/>
      <c r="G83" s="19"/>
      <c r="H83" s="19"/>
      <c r="I83" s="17"/>
      <c r="J83" s="18"/>
      <c r="K83" s="18"/>
    </row>
    <row r="84" customFormat="false" ht="21.75" hidden="false" customHeight="true" outlineLevel="0" collapsed="false">
      <c r="A84" s="17"/>
      <c r="B84" s="18"/>
      <c r="C84" s="18"/>
      <c r="D84" s="18"/>
      <c r="E84" s="18"/>
      <c r="F84" s="19"/>
      <c r="G84" s="19"/>
      <c r="H84" s="19"/>
      <c r="I84" s="17"/>
      <c r="J84" s="18"/>
      <c r="K84" s="18"/>
    </row>
    <row r="85" customFormat="false" ht="21.75" hidden="false" customHeight="true" outlineLevel="0" collapsed="false">
      <c r="A85" s="17"/>
      <c r="B85" s="18"/>
      <c r="C85" s="18"/>
      <c r="D85" s="18"/>
      <c r="E85" s="18"/>
      <c r="F85" s="19"/>
      <c r="G85" s="19"/>
      <c r="H85" s="19"/>
      <c r="I85" s="17"/>
      <c r="J85" s="18"/>
      <c r="K85" s="18"/>
    </row>
    <row r="86" customFormat="false" ht="21.75" hidden="false" customHeight="true" outlineLevel="0" collapsed="false">
      <c r="A86" s="17"/>
      <c r="B86" s="18"/>
      <c r="C86" s="18"/>
      <c r="D86" s="18"/>
      <c r="E86" s="18"/>
      <c r="F86" s="19"/>
      <c r="G86" s="19"/>
      <c r="H86" s="19"/>
      <c r="I86" s="17"/>
      <c r="J86" s="18"/>
      <c r="K86" s="18"/>
    </row>
    <row r="87" customFormat="false" ht="21.75" hidden="false" customHeight="true" outlineLevel="0" collapsed="false">
      <c r="A87" s="17"/>
      <c r="B87" s="18"/>
      <c r="C87" s="18"/>
      <c r="D87" s="18"/>
      <c r="E87" s="18"/>
      <c r="F87" s="19"/>
      <c r="G87" s="19"/>
      <c r="H87" s="19"/>
      <c r="I87" s="17"/>
      <c r="J87" s="18"/>
      <c r="K87" s="18"/>
    </row>
    <row r="88" customFormat="false" ht="21.75" hidden="false" customHeight="true" outlineLevel="0" collapsed="false">
      <c r="A88" s="17"/>
      <c r="B88" s="18"/>
      <c r="C88" s="18"/>
      <c r="D88" s="18"/>
      <c r="E88" s="18"/>
      <c r="F88" s="19"/>
      <c r="G88" s="19"/>
      <c r="H88" s="19"/>
      <c r="I88" s="17"/>
      <c r="J88" s="18"/>
      <c r="K88" s="18"/>
    </row>
    <row r="89" customFormat="false" ht="21.75" hidden="false" customHeight="true" outlineLevel="0" collapsed="false">
      <c r="A89" s="17"/>
      <c r="B89" s="18"/>
      <c r="C89" s="18"/>
      <c r="D89" s="18"/>
      <c r="E89" s="18"/>
      <c r="F89" s="19"/>
      <c r="G89" s="19"/>
      <c r="H89" s="19"/>
      <c r="I89" s="17"/>
      <c r="J89" s="18"/>
      <c r="K89" s="18"/>
    </row>
    <row r="90" customFormat="false" ht="21.75" hidden="false" customHeight="true" outlineLevel="0" collapsed="false">
      <c r="A90" s="17"/>
      <c r="B90" s="18"/>
      <c r="C90" s="18"/>
      <c r="D90" s="18"/>
      <c r="E90" s="18"/>
      <c r="F90" s="19"/>
      <c r="G90" s="19"/>
      <c r="H90" s="19"/>
      <c r="I90" s="17"/>
      <c r="J90" s="18"/>
      <c r="K90" s="18"/>
    </row>
    <row r="91" customFormat="false" ht="21.75" hidden="false" customHeight="true" outlineLevel="0" collapsed="false">
      <c r="A91" s="17"/>
      <c r="B91" s="18"/>
      <c r="C91" s="18"/>
      <c r="D91" s="18"/>
      <c r="E91" s="18"/>
      <c r="F91" s="19"/>
      <c r="G91" s="19"/>
      <c r="H91" s="19"/>
      <c r="I91" s="17"/>
      <c r="J91" s="18"/>
      <c r="K91" s="18"/>
    </row>
    <row r="92" customFormat="false" ht="21.75" hidden="false" customHeight="true" outlineLevel="0" collapsed="false">
      <c r="A92" s="17"/>
      <c r="B92" s="18"/>
      <c r="C92" s="18"/>
      <c r="D92" s="18"/>
      <c r="E92" s="18"/>
      <c r="F92" s="19"/>
      <c r="G92" s="19"/>
      <c r="H92" s="19"/>
      <c r="I92" s="17"/>
      <c r="J92" s="18"/>
      <c r="K92" s="18"/>
    </row>
    <row r="93" customFormat="false" ht="21.75" hidden="false" customHeight="true" outlineLevel="0" collapsed="false">
      <c r="A93" s="17"/>
      <c r="B93" s="18"/>
      <c r="C93" s="18"/>
      <c r="D93" s="18"/>
      <c r="E93" s="18"/>
      <c r="F93" s="19"/>
      <c r="G93" s="19"/>
      <c r="H93" s="19"/>
      <c r="I93" s="17"/>
      <c r="J93" s="18"/>
      <c r="K93" s="18"/>
    </row>
    <row r="94" customFormat="false" ht="21.75" hidden="false" customHeight="true" outlineLevel="0" collapsed="false">
      <c r="A94" s="17"/>
      <c r="B94" s="18"/>
      <c r="C94" s="18"/>
      <c r="D94" s="18"/>
      <c r="E94" s="18"/>
      <c r="F94" s="19"/>
      <c r="G94" s="19"/>
      <c r="H94" s="19"/>
      <c r="I94" s="17"/>
      <c r="J94" s="18"/>
      <c r="K94" s="18"/>
    </row>
    <row r="95" customFormat="false" ht="21.75" hidden="false" customHeight="true" outlineLevel="0" collapsed="false">
      <c r="A95" s="17"/>
      <c r="B95" s="18"/>
      <c r="C95" s="18"/>
      <c r="D95" s="18"/>
      <c r="E95" s="18"/>
      <c r="F95" s="19"/>
      <c r="G95" s="19"/>
      <c r="H95" s="19"/>
      <c r="I95" s="17"/>
      <c r="J95" s="18"/>
      <c r="K95" s="18"/>
    </row>
    <row r="96" customFormat="false" ht="21.75" hidden="false" customHeight="true" outlineLevel="0" collapsed="false">
      <c r="A96" s="17"/>
      <c r="B96" s="18"/>
      <c r="C96" s="18"/>
      <c r="D96" s="18"/>
      <c r="E96" s="18"/>
      <c r="F96" s="19"/>
      <c r="G96" s="19"/>
      <c r="H96" s="19"/>
      <c r="I96" s="17"/>
      <c r="J96" s="18"/>
      <c r="K96" s="18"/>
    </row>
    <row r="97" customFormat="false" ht="21.75" hidden="false" customHeight="true" outlineLevel="0" collapsed="false">
      <c r="A97" s="17"/>
      <c r="B97" s="18"/>
      <c r="C97" s="18"/>
      <c r="D97" s="18"/>
      <c r="E97" s="18"/>
      <c r="F97" s="19"/>
      <c r="G97" s="19"/>
      <c r="H97" s="19"/>
      <c r="I97" s="17"/>
      <c r="J97" s="18"/>
      <c r="K97" s="18"/>
    </row>
    <row r="98" customFormat="false" ht="21.75" hidden="false" customHeight="true" outlineLevel="0" collapsed="false">
      <c r="A98" s="17"/>
      <c r="B98" s="18"/>
      <c r="C98" s="18"/>
      <c r="D98" s="18"/>
      <c r="E98" s="18"/>
      <c r="F98" s="19"/>
      <c r="G98" s="19"/>
      <c r="H98" s="19"/>
      <c r="I98" s="17"/>
      <c r="J98" s="18"/>
      <c r="K98" s="18"/>
    </row>
    <row r="99" customFormat="false" ht="21.75" hidden="false" customHeight="true" outlineLevel="0" collapsed="false">
      <c r="A99" s="17"/>
      <c r="B99" s="18"/>
      <c r="C99" s="18"/>
      <c r="D99" s="18"/>
      <c r="E99" s="18"/>
      <c r="F99" s="19"/>
      <c r="G99" s="19"/>
      <c r="H99" s="19"/>
      <c r="I99" s="17"/>
      <c r="J99" s="18"/>
      <c r="K99" s="18"/>
    </row>
    <row r="100" customFormat="false" ht="21.75" hidden="false" customHeight="true" outlineLevel="0" collapsed="false">
      <c r="A100" s="17"/>
      <c r="B100" s="18"/>
      <c r="C100" s="18"/>
      <c r="D100" s="18"/>
      <c r="E100" s="18"/>
      <c r="F100" s="19"/>
      <c r="G100" s="19"/>
      <c r="H100" s="19"/>
      <c r="I100" s="17"/>
      <c r="J100" s="18"/>
      <c r="K100" s="18"/>
    </row>
    <row r="101" customFormat="false" ht="21.75" hidden="false" customHeight="true" outlineLevel="0" collapsed="false">
      <c r="A101" s="17"/>
      <c r="B101" s="18"/>
      <c r="C101" s="18"/>
      <c r="D101" s="18"/>
      <c r="E101" s="18"/>
      <c r="F101" s="19"/>
      <c r="G101" s="19"/>
      <c r="H101" s="19"/>
      <c r="I101" s="17"/>
      <c r="J101" s="18"/>
      <c r="K101" s="18"/>
    </row>
    <row r="102" customFormat="false" ht="21.75" hidden="false" customHeight="true" outlineLevel="0" collapsed="false">
      <c r="A102" s="17"/>
      <c r="B102" s="18"/>
      <c r="C102" s="18"/>
      <c r="D102" s="18"/>
      <c r="E102" s="18"/>
      <c r="F102" s="19"/>
      <c r="G102" s="19"/>
      <c r="H102" s="19"/>
      <c r="I102" s="17"/>
      <c r="J102" s="18"/>
      <c r="K102" s="18"/>
    </row>
    <row r="103" customFormat="false" ht="21.75" hidden="false" customHeight="true" outlineLevel="0" collapsed="false">
      <c r="A103" s="17"/>
      <c r="B103" s="18"/>
      <c r="C103" s="18"/>
      <c r="D103" s="18"/>
      <c r="E103" s="18"/>
      <c r="F103" s="19"/>
      <c r="G103" s="19"/>
      <c r="H103" s="19"/>
      <c r="I103" s="17"/>
      <c r="J103" s="18"/>
      <c r="K103" s="18"/>
    </row>
    <row r="104" customFormat="false" ht="21.75" hidden="false" customHeight="true" outlineLevel="0" collapsed="false">
      <c r="A104" s="17"/>
      <c r="B104" s="18"/>
      <c r="C104" s="18"/>
      <c r="D104" s="18"/>
      <c r="E104" s="18"/>
      <c r="F104" s="19"/>
      <c r="G104" s="19"/>
      <c r="H104" s="19"/>
      <c r="I104" s="17"/>
      <c r="J104" s="18"/>
      <c r="K104" s="18"/>
    </row>
    <row r="105" customFormat="false" ht="21.75" hidden="false" customHeight="true" outlineLevel="0" collapsed="false">
      <c r="A105" s="17"/>
      <c r="B105" s="18"/>
      <c r="C105" s="18"/>
      <c r="D105" s="18"/>
      <c r="E105" s="18"/>
      <c r="F105" s="19"/>
      <c r="G105" s="19"/>
      <c r="H105" s="19"/>
      <c r="I105" s="17"/>
      <c r="J105" s="18"/>
      <c r="K105" s="18"/>
    </row>
    <row r="106" customFormat="false" ht="21.75" hidden="false" customHeight="true" outlineLevel="0" collapsed="false">
      <c r="A106" s="17"/>
      <c r="B106" s="18"/>
      <c r="C106" s="18"/>
      <c r="D106" s="18"/>
      <c r="E106" s="18"/>
      <c r="F106" s="19"/>
      <c r="G106" s="19"/>
      <c r="H106" s="19"/>
      <c r="I106" s="17"/>
      <c r="J106" s="18"/>
      <c r="K106" s="18"/>
    </row>
    <row r="107" customFormat="false" ht="21.75" hidden="false" customHeight="true" outlineLevel="0" collapsed="false">
      <c r="A107" s="17"/>
      <c r="B107" s="18"/>
      <c r="C107" s="18"/>
      <c r="D107" s="18"/>
      <c r="E107" s="18"/>
      <c r="F107" s="19"/>
      <c r="G107" s="19"/>
      <c r="H107" s="19"/>
      <c r="I107" s="17"/>
      <c r="J107" s="18"/>
      <c r="K107" s="18"/>
    </row>
    <row r="108" customFormat="false" ht="21.75" hidden="false" customHeight="true" outlineLevel="0" collapsed="false">
      <c r="A108" s="17"/>
      <c r="B108" s="18"/>
      <c r="C108" s="18"/>
      <c r="D108" s="18"/>
      <c r="E108" s="18"/>
      <c r="F108" s="19"/>
      <c r="G108" s="19"/>
      <c r="H108" s="19"/>
      <c r="I108" s="17"/>
      <c r="J108" s="18"/>
      <c r="K108" s="18"/>
    </row>
    <row r="109" customFormat="false" ht="21.75" hidden="false" customHeight="true" outlineLevel="0" collapsed="false">
      <c r="A109" s="17"/>
      <c r="B109" s="18"/>
      <c r="C109" s="18"/>
      <c r="D109" s="18"/>
      <c r="E109" s="18"/>
      <c r="F109" s="19"/>
      <c r="G109" s="19"/>
      <c r="H109" s="19"/>
      <c r="I109" s="17"/>
      <c r="J109" s="18"/>
      <c r="K109" s="18"/>
    </row>
    <row r="110" customFormat="false" ht="21.75" hidden="false" customHeight="true" outlineLevel="0" collapsed="false">
      <c r="A110" s="17"/>
      <c r="B110" s="18"/>
      <c r="C110" s="18"/>
      <c r="D110" s="18"/>
      <c r="E110" s="18"/>
      <c r="F110" s="19"/>
      <c r="G110" s="19"/>
      <c r="H110" s="19"/>
      <c r="I110" s="17"/>
      <c r="J110" s="18"/>
      <c r="K110" s="18"/>
    </row>
    <row r="111" customFormat="false" ht="21.75" hidden="false" customHeight="true" outlineLevel="0" collapsed="false">
      <c r="A111" s="17"/>
      <c r="B111" s="18"/>
      <c r="C111" s="18"/>
      <c r="D111" s="18"/>
      <c r="E111" s="18"/>
      <c r="F111" s="19"/>
      <c r="G111" s="19"/>
      <c r="H111" s="19"/>
      <c r="I111" s="17"/>
      <c r="J111" s="18"/>
      <c r="K111" s="18"/>
    </row>
    <row r="112" customFormat="false" ht="21.75" hidden="false" customHeight="true" outlineLevel="0" collapsed="false">
      <c r="A112" s="17"/>
      <c r="B112" s="18"/>
      <c r="C112" s="18"/>
      <c r="D112" s="18"/>
      <c r="E112" s="18"/>
      <c r="F112" s="19"/>
      <c r="G112" s="19"/>
      <c r="H112" s="19"/>
      <c r="I112" s="17"/>
      <c r="J112" s="18"/>
      <c r="K112" s="18"/>
    </row>
    <row r="113" customFormat="false" ht="21.75" hidden="false" customHeight="true" outlineLevel="0" collapsed="false">
      <c r="A113" s="17"/>
      <c r="B113" s="18"/>
      <c r="C113" s="18"/>
      <c r="D113" s="18"/>
      <c r="E113" s="18"/>
      <c r="F113" s="19"/>
      <c r="G113" s="19"/>
      <c r="H113" s="19"/>
      <c r="I113" s="17"/>
      <c r="J113" s="18"/>
      <c r="K113" s="18"/>
    </row>
    <row r="114" customFormat="false" ht="21.75" hidden="false" customHeight="true" outlineLevel="0" collapsed="false">
      <c r="A114" s="17"/>
      <c r="B114" s="18"/>
      <c r="C114" s="18"/>
      <c r="D114" s="18"/>
      <c r="E114" s="18"/>
      <c r="F114" s="19"/>
      <c r="G114" s="19"/>
      <c r="H114" s="19"/>
      <c r="I114" s="17"/>
      <c r="J114" s="18"/>
      <c r="K114" s="18"/>
    </row>
    <row r="115" customFormat="false" ht="21.75" hidden="false" customHeight="true" outlineLevel="0" collapsed="false">
      <c r="A115" s="17"/>
      <c r="B115" s="18"/>
      <c r="C115" s="18"/>
      <c r="D115" s="18"/>
      <c r="E115" s="18"/>
      <c r="F115" s="19"/>
      <c r="G115" s="19"/>
      <c r="H115" s="19"/>
      <c r="I115" s="17"/>
      <c r="J115" s="18"/>
      <c r="K115" s="18"/>
    </row>
    <row r="116" customFormat="false" ht="21.75" hidden="false" customHeight="true" outlineLevel="0" collapsed="false">
      <c r="A116" s="17"/>
      <c r="B116" s="18"/>
      <c r="C116" s="18"/>
      <c r="D116" s="18"/>
      <c r="E116" s="18"/>
      <c r="F116" s="19"/>
      <c r="G116" s="19"/>
      <c r="H116" s="19"/>
      <c r="I116" s="17"/>
      <c r="J116" s="18"/>
      <c r="K116" s="18"/>
    </row>
    <row r="117" customFormat="false" ht="21.75" hidden="false" customHeight="true" outlineLevel="0" collapsed="false">
      <c r="A117" s="17"/>
      <c r="B117" s="18"/>
      <c r="C117" s="18"/>
      <c r="D117" s="18"/>
      <c r="E117" s="18"/>
      <c r="F117" s="19"/>
      <c r="G117" s="19"/>
      <c r="H117" s="19"/>
      <c r="I117" s="17"/>
      <c r="J117" s="18"/>
      <c r="K117" s="18"/>
    </row>
    <row r="118" customFormat="false" ht="21.75" hidden="false" customHeight="true" outlineLevel="0" collapsed="false">
      <c r="A118" s="17"/>
      <c r="B118" s="18"/>
      <c r="C118" s="18"/>
      <c r="D118" s="18"/>
      <c r="E118" s="18"/>
      <c r="F118" s="19"/>
      <c r="G118" s="19"/>
      <c r="H118" s="19"/>
      <c r="I118" s="17"/>
      <c r="J118" s="18"/>
      <c r="K118" s="18"/>
    </row>
    <row r="119" customFormat="false" ht="21.75" hidden="false" customHeight="true" outlineLevel="0" collapsed="false">
      <c r="A119" s="17"/>
      <c r="B119" s="18"/>
      <c r="C119" s="18"/>
      <c r="D119" s="18"/>
      <c r="E119" s="18"/>
      <c r="F119" s="19"/>
      <c r="G119" s="19"/>
      <c r="H119" s="19"/>
      <c r="I119" s="17"/>
      <c r="J119" s="18"/>
      <c r="K119" s="18"/>
    </row>
    <row r="120" customFormat="false" ht="21.75" hidden="false" customHeight="true" outlineLevel="0" collapsed="false">
      <c r="A120" s="17"/>
      <c r="B120" s="18"/>
      <c r="C120" s="18"/>
      <c r="D120" s="18"/>
      <c r="E120" s="18"/>
      <c r="F120" s="19"/>
      <c r="G120" s="19"/>
      <c r="H120" s="19"/>
      <c r="I120" s="17"/>
      <c r="J120" s="18"/>
      <c r="K120" s="18"/>
    </row>
    <row r="121" customFormat="false" ht="21.75" hidden="false" customHeight="true" outlineLevel="0" collapsed="false">
      <c r="A121" s="17"/>
      <c r="B121" s="18"/>
      <c r="C121" s="18"/>
      <c r="D121" s="18"/>
      <c r="E121" s="18"/>
      <c r="F121" s="19"/>
      <c r="G121" s="19"/>
      <c r="H121" s="19"/>
      <c r="I121" s="17"/>
      <c r="J121" s="18"/>
      <c r="K121" s="18"/>
    </row>
    <row r="122" customFormat="false" ht="21.75" hidden="false" customHeight="true" outlineLevel="0" collapsed="false">
      <c r="A122" s="17"/>
      <c r="B122" s="18"/>
      <c r="C122" s="18"/>
      <c r="D122" s="18"/>
      <c r="E122" s="18"/>
      <c r="F122" s="19"/>
      <c r="G122" s="19"/>
      <c r="H122" s="19"/>
      <c r="I122" s="17"/>
      <c r="J122" s="18"/>
      <c r="K122" s="18"/>
    </row>
    <row r="123" customFormat="false" ht="21.75" hidden="false" customHeight="true" outlineLevel="0" collapsed="false">
      <c r="A123" s="17"/>
      <c r="B123" s="18"/>
      <c r="C123" s="18"/>
      <c r="D123" s="18"/>
      <c r="E123" s="18"/>
      <c r="F123" s="19"/>
      <c r="G123" s="19"/>
      <c r="H123" s="19"/>
      <c r="I123" s="17"/>
      <c r="J123" s="18"/>
      <c r="K123" s="18"/>
    </row>
    <row r="124" customFormat="false" ht="21.75" hidden="false" customHeight="true" outlineLevel="0" collapsed="false">
      <c r="A124" s="17"/>
      <c r="B124" s="18"/>
      <c r="C124" s="18"/>
      <c r="D124" s="18"/>
      <c r="E124" s="18"/>
      <c r="F124" s="19"/>
      <c r="G124" s="19"/>
      <c r="H124" s="19"/>
      <c r="I124" s="17"/>
      <c r="J124" s="18"/>
      <c r="K124" s="18"/>
    </row>
    <row r="125" customFormat="false" ht="21.75" hidden="false" customHeight="true" outlineLevel="0" collapsed="false">
      <c r="A125" s="17"/>
      <c r="B125" s="18"/>
      <c r="C125" s="18"/>
      <c r="D125" s="18"/>
      <c r="E125" s="18"/>
      <c r="F125" s="19"/>
      <c r="G125" s="19"/>
      <c r="H125" s="19"/>
      <c r="I125" s="17"/>
      <c r="J125" s="18"/>
      <c r="K125" s="18"/>
    </row>
    <row r="126" customFormat="false" ht="21.75" hidden="false" customHeight="true" outlineLevel="0" collapsed="false">
      <c r="A126" s="17"/>
      <c r="B126" s="18"/>
      <c r="C126" s="18"/>
      <c r="D126" s="18"/>
      <c r="E126" s="18"/>
      <c r="F126" s="19"/>
      <c r="G126" s="19"/>
      <c r="H126" s="19"/>
      <c r="I126" s="17"/>
      <c r="J126" s="18"/>
      <c r="K126" s="18"/>
    </row>
    <row r="127" customFormat="false" ht="21.75" hidden="false" customHeight="true" outlineLevel="0" collapsed="false">
      <c r="A127" s="17"/>
      <c r="B127" s="18"/>
      <c r="C127" s="18"/>
      <c r="D127" s="18"/>
      <c r="E127" s="18"/>
      <c r="F127" s="19"/>
      <c r="G127" s="19"/>
      <c r="H127" s="19"/>
      <c r="I127" s="17"/>
      <c r="J127" s="18"/>
      <c r="K127" s="18"/>
    </row>
    <row r="128" customFormat="false" ht="21.75" hidden="false" customHeight="true" outlineLevel="0" collapsed="false">
      <c r="A128" s="17"/>
      <c r="B128" s="18"/>
      <c r="C128" s="18"/>
      <c r="D128" s="18"/>
      <c r="E128" s="18"/>
      <c r="F128" s="19"/>
      <c r="G128" s="19"/>
      <c r="H128" s="19"/>
      <c r="I128" s="17"/>
      <c r="J128" s="18"/>
      <c r="K128" s="18"/>
    </row>
    <row r="129" customFormat="false" ht="21.75" hidden="false" customHeight="true" outlineLevel="0" collapsed="false">
      <c r="A129" s="17"/>
      <c r="B129" s="18"/>
      <c r="C129" s="18"/>
      <c r="D129" s="18"/>
      <c r="E129" s="18"/>
      <c r="F129" s="19"/>
      <c r="G129" s="19"/>
      <c r="H129" s="19"/>
      <c r="I129" s="17"/>
      <c r="J129" s="18"/>
      <c r="K129" s="18"/>
    </row>
    <row r="130" customFormat="false" ht="21.75" hidden="false" customHeight="true" outlineLevel="0" collapsed="false">
      <c r="A130" s="17"/>
      <c r="B130" s="18"/>
      <c r="C130" s="18"/>
      <c r="D130" s="18"/>
      <c r="E130" s="18"/>
      <c r="F130" s="19"/>
      <c r="G130" s="19"/>
      <c r="H130" s="19"/>
      <c r="I130" s="17"/>
      <c r="J130" s="18"/>
      <c r="K130" s="18"/>
    </row>
    <row r="131" customFormat="false" ht="21.75" hidden="false" customHeight="true" outlineLevel="0" collapsed="false">
      <c r="A131" s="17"/>
      <c r="B131" s="18"/>
      <c r="C131" s="18"/>
      <c r="D131" s="18"/>
      <c r="E131" s="18"/>
      <c r="F131" s="19"/>
      <c r="G131" s="19"/>
      <c r="H131" s="19"/>
      <c r="I131" s="17"/>
      <c r="J131" s="18"/>
      <c r="K131" s="18"/>
    </row>
    <row r="132" customFormat="false" ht="21.75" hidden="false" customHeight="true" outlineLevel="0" collapsed="false">
      <c r="A132" s="17"/>
      <c r="B132" s="18"/>
      <c r="C132" s="18"/>
      <c r="D132" s="18"/>
      <c r="E132" s="18"/>
      <c r="F132" s="19"/>
      <c r="G132" s="19"/>
      <c r="H132" s="19"/>
      <c r="I132" s="17"/>
      <c r="J132" s="18"/>
      <c r="K132" s="18"/>
    </row>
    <row r="133" customFormat="false" ht="21.75" hidden="false" customHeight="true" outlineLevel="0" collapsed="false">
      <c r="A133" s="17"/>
      <c r="B133" s="18"/>
      <c r="C133" s="18"/>
      <c r="D133" s="18"/>
      <c r="E133" s="18"/>
      <c r="F133" s="19"/>
      <c r="G133" s="19"/>
      <c r="H133" s="19"/>
      <c r="I133" s="17"/>
      <c r="J133" s="18"/>
      <c r="K133" s="18"/>
    </row>
    <row r="134" customFormat="false" ht="21.75" hidden="false" customHeight="true" outlineLevel="0" collapsed="false">
      <c r="A134" s="17"/>
      <c r="B134" s="18"/>
      <c r="C134" s="18"/>
      <c r="D134" s="18"/>
      <c r="E134" s="18"/>
      <c r="F134" s="19"/>
      <c r="G134" s="19"/>
      <c r="H134" s="19"/>
      <c r="I134" s="17"/>
      <c r="J134" s="18"/>
      <c r="K134" s="18"/>
    </row>
    <row r="135" customFormat="false" ht="21.75" hidden="false" customHeight="true" outlineLevel="0" collapsed="false">
      <c r="A135" s="17"/>
      <c r="B135" s="18"/>
      <c r="C135" s="18"/>
      <c r="D135" s="18"/>
      <c r="E135" s="18"/>
      <c r="F135" s="19"/>
      <c r="G135" s="19"/>
      <c r="H135" s="19"/>
      <c r="I135" s="17"/>
      <c r="J135" s="18"/>
      <c r="K135" s="18"/>
    </row>
    <row r="136" customFormat="false" ht="21.75" hidden="false" customHeight="true" outlineLevel="0" collapsed="false">
      <c r="A136" s="17"/>
      <c r="B136" s="18"/>
      <c r="C136" s="18"/>
      <c r="D136" s="18"/>
      <c r="E136" s="18"/>
      <c r="F136" s="19"/>
      <c r="G136" s="19"/>
      <c r="H136" s="19"/>
      <c r="I136" s="17"/>
      <c r="J136" s="18"/>
      <c r="K136" s="18"/>
    </row>
    <row r="137" customFormat="false" ht="21.75" hidden="false" customHeight="true" outlineLevel="0" collapsed="false">
      <c r="A137" s="17"/>
      <c r="B137" s="18"/>
      <c r="C137" s="18"/>
      <c r="D137" s="18"/>
      <c r="E137" s="18"/>
      <c r="F137" s="19"/>
      <c r="G137" s="19"/>
      <c r="H137" s="19"/>
      <c r="I137" s="17"/>
      <c r="J137" s="18"/>
      <c r="K137" s="18"/>
    </row>
    <row r="138" customFormat="false" ht="21.75" hidden="false" customHeight="true" outlineLevel="0" collapsed="false">
      <c r="A138" s="17"/>
      <c r="B138" s="18"/>
      <c r="C138" s="18"/>
      <c r="D138" s="18"/>
      <c r="E138" s="18"/>
      <c r="F138" s="19"/>
      <c r="G138" s="19"/>
      <c r="H138" s="19"/>
      <c r="I138" s="17"/>
      <c r="J138" s="18"/>
      <c r="K138" s="18"/>
    </row>
    <row r="139" customFormat="false" ht="21.75" hidden="false" customHeight="true" outlineLevel="0" collapsed="false">
      <c r="A139" s="17"/>
      <c r="B139" s="18"/>
      <c r="C139" s="18"/>
      <c r="D139" s="18"/>
      <c r="E139" s="18"/>
      <c r="F139" s="19"/>
      <c r="G139" s="19"/>
      <c r="H139" s="19"/>
      <c r="I139" s="17"/>
      <c r="J139" s="18"/>
      <c r="K139" s="18"/>
    </row>
    <row r="140" customFormat="false" ht="21.75" hidden="false" customHeight="true" outlineLevel="0" collapsed="false">
      <c r="A140" s="17"/>
      <c r="B140" s="18"/>
      <c r="C140" s="18"/>
      <c r="D140" s="18"/>
      <c r="E140" s="18"/>
      <c r="F140" s="19"/>
      <c r="G140" s="19"/>
      <c r="H140" s="19"/>
      <c r="I140" s="17"/>
      <c r="J140" s="18"/>
      <c r="K140" s="18"/>
    </row>
    <row r="141" customFormat="false" ht="21.75" hidden="false" customHeight="true" outlineLevel="0" collapsed="false">
      <c r="A141" s="17"/>
      <c r="B141" s="18"/>
      <c r="C141" s="18"/>
      <c r="D141" s="18"/>
      <c r="E141" s="18"/>
      <c r="F141" s="19"/>
      <c r="G141" s="19"/>
      <c r="H141" s="19"/>
      <c r="I141" s="17"/>
      <c r="J141" s="18"/>
      <c r="K141" s="18"/>
    </row>
    <row r="142" customFormat="false" ht="21.75" hidden="false" customHeight="true" outlineLevel="0" collapsed="false">
      <c r="A142" s="17"/>
      <c r="B142" s="18"/>
      <c r="C142" s="18"/>
      <c r="D142" s="18"/>
      <c r="E142" s="18"/>
      <c r="F142" s="19"/>
      <c r="G142" s="19"/>
      <c r="H142" s="19"/>
      <c r="I142" s="17"/>
      <c r="J142" s="18"/>
      <c r="K142" s="18"/>
    </row>
    <row r="143" customFormat="false" ht="21.75" hidden="false" customHeight="true" outlineLevel="0" collapsed="false">
      <c r="A143" s="17"/>
      <c r="B143" s="18"/>
      <c r="C143" s="18"/>
      <c r="D143" s="18"/>
      <c r="E143" s="18"/>
      <c r="F143" s="19"/>
      <c r="G143" s="19"/>
      <c r="H143" s="19"/>
      <c r="I143" s="17"/>
      <c r="J143" s="18"/>
      <c r="K143" s="18"/>
    </row>
    <row r="144" customFormat="false" ht="21.75" hidden="false" customHeight="true" outlineLevel="0" collapsed="false">
      <c r="A144" s="17"/>
      <c r="B144" s="18"/>
      <c r="C144" s="18"/>
      <c r="D144" s="18"/>
      <c r="E144" s="18"/>
      <c r="F144" s="19"/>
      <c r="G144" s="19"/>
      <c r="H144" s="19"/>
      <c r="I144" s="17"/>
      <c r="J144" s="18"/>
      <c r="K144" s="18"/>
    </row>
    <row r="145" customFormat="false" ht="21.75" hidden="false" customHeight="true" outlineLevel="0" collapsed="false">
      <c r="A145" s="17"/>
      <c r="B145" s="18"/>
      <c r="C145" s="18"/>
      <c r="D145" s="18"/>
      <c r="E145" s="18"/>
      <c r="F145" s="19"/>
      <c r="G145" s="19"/>
      <c r="H145" s="19"/>
      <c r="I145" s="17"/>
      <c r="J145" s="18"/>
      <c r="K145" s="18"/>
    </row>
    <row r="146" customFormat="false" ht="21.75" hidden="false" customHeight="true" outlineLevel="0" collapsed="false">
      <c r="A146" s="17"/>
      <c r="B146" s="18"/>
      <c r="C146" s="18"/>
      <c r="D146" s="18"/>
      <c r="E146" s="18"/>
      <c r="F146" s="19"/>
      <c r="G146" s="19"/>
      <c r="H146" s="19"/>
      <c r="I146" s="17"/>
      <c r="J146" s="18"/>
      <c r="K146" s="18"/>
    </row>
    <row r="147" customFormat="false" ht="21.75" hidden="false" customHeight="true" outlineLevel="0" collapsed="false">
      <c r="A147" s="17"/>
      <c r="B147" s="18"/>
      <c r="C147" s="18"/>
      <c r="D147" s="18"/>
      <c r="E147" s="18"/>
      <c r="F147" s="19"/>
      <c r="G147" s="19"/>
      <c r="H147" s="19"/>
      <c r="I147" s="17"/>
      <c r="J147" s="18"/>
      <c r="K147" s="18"/>
    </row>
    <row r="148" customFormat="false" ht="21.75" hidden="false" customHeight="true" outlineLevel="0" collapsed="false">
      <c r="A148" s="17"/>
      <c r="B148" s="18"/>
      <c r="C148" s="18"/>
      <c r="D148" s="18"/>
      <c r="E148" s="18"/>
      <c r="F148" s="19"/>
      <c r="G148" s="19"/>
      <c r="H148" s="19"/>
      <c r="I148" s="17"/>
      <c r="J148" s="18"/>
      <c r="K148" s="18"/>
    </row>
    <row r="149" customFormat="false" ht="21.75" hidden="false" customHeight="true" outlineLevel="0" collapsed="false">
      <c r="A149" s="17"/>
      <c r="B149" s="18"/>
      <c r="C149" s="18"/>
      <c r="D149" s="18"/>
      <c r="E149" s="18"/>
      <c r="F149" s="19"/>
      <c r="G149" s="19"/>
      <c r="H149" s="19"/>
      <c r="I149" s="17"/>
      <c r="J149" s="18"/>
      <c r="K149" s="18"/>
    </row>
    <row r="150" customFormat="false" ht="21.75" hidden="false" customHeight="true" outlineLevel="0" collapsed="false">
      <c r="A150" s="17"/>
      <c r="B150" s="18"/>
      <c r="C150" s="18"/>
      <c r="D150" s="18"/>
      <c r="E150" s="18"/>
      <c r="F150" s="19"/>
      <c r="G150" s="19"/>
      <c r="H150" s="19"/>
      <c r="I150" s="17"/>
      <c r="J150" s="18"/>
      <c r="K150" s="18"/>
    </row>
    <row r="151" customFormat="false" ht="21.75" hidden="false" customHeight="true" outlineLevel="0" collapsed="false">
      <c r="A151" s="17"/>
      <c r="B151" s="18"/>
      <c r="C151" s="18"/>
      <c r="D151" s="18"/>
      <c r="E151" s="18"/>
      <c r="F151" s="19"/>
      <c r="G151" s="19"/>
      <c r="H151" s="19"/>
      <c r="I151" s="17"/>
      <c r="J151" s="18"/>
      <c r="K151" s="18"/>
    </row>
    <row r="152" customFormat="false" ht="21.75" hidden="false" customHeight="true" outlineLevel="0" collapsed="false">
      <c r="A152" s="17"/>
      <c r="B152" s="18"/>
      <c r="C152" s="18"/>
      <c r="D152" s="18"/>
      <c r="E152" s="18"/>
      <c r="F152" s="19"/>
      <c r="G152" s="19"/>
      <c r="H152" s="19"/>
      <c r="I152" s="17"/>
      <c r="J152" s="18"/>
      <c r="K152" s="18"/>
    </row>
    <row r="153" customFormat="false" ht="21.75" hidden="false" customHeight="true" outlineLevel="0" collapsed="false">
      <c r="A153" s="17"/>
      <c r="B153" s="18"/>
      <c r="C153" s="18"/>
      <c r="D153" s="18"/>
      <c r="E153" s="18"/>
      <c r="F153" s="19"/>
      <c r="G153" s="19"/>
      <c r="H153" s="19"/>
      <c r="I153" s="17"/>
      <c r="J153" s="18"/>
      <c r="K153" s="18"/>
    </row>
    <row r="154" customFormat="false" ht="21.75" hidden="false" customHeight="true" outlineLevel="0" collapsed="false">
      <c r="A154" s="17"/>
      <c r="B154" s="18"/>
      <c r="C154" s="18"/>
      <c r="D154" s="18"/>
      <c r="E154" s="18"/>
      <c r="F154" s="19"/>
      <c r="G154" s="19"/>
      <c r="H154" s="19"/>
      <c r="I154" s="17"/>
      <c r="J154" s="18"/>
      <c r="K154" s="18"/>
    </row>
    <row r="155" customFormat="false" ht="21.75" hidden="false" customHeight="true" outlineLevel="0" collapsed="false">
      <c r="A155" s="17"/>
      <c r="B155" s="18"/>
      <c r="C155" s="18"/>
      <c r="D155" s="18"/>
      <c r="E155" s="18"/>
      <c r="F155" s="19"/>
      <c r="G155" s="19"/>
      <c r="H155" s="19"/>
      <c r="I155" s="17"/>
      <c r="J155" s="18"/>
      <c r="K155" s="18"/>
    </row>
    <row r="156" customFormat="false" ht="21.75" hidden="false" customHeight="true" outlineLevel="0" collapsed="false">
      <c r="A156" s="17"/>
      <c r="B156" s="18"/>
      <c r="C156" s="18"/>
      <c r="D156" s="18"/>
      <c r="E156" s="18"/>
      <c r="F156" s="19"/>
      <c r="G156" s="19"/>
      <c r="H156" s="19"/>
      <c r="I156" s="17"/>
      <c r="J156" s="18"/>
      <c r="K156" s="18"/>
    </row>
    <row r="157" customFormat="false" ht="21.75" hidden="false" customHeight="true" outlineLevel="0" collapsed="false">
      <c r="A157" s="17"/>
      <c r="B157" s="18"/>
      <c r="C157" s="18"/>
      <c r="D157" s="18"/>
      <c r="E157" s="18"/>
      <c r="F157" s="19"/>
      <c r="G157" s="19"/>
      <c r="H157" s="19"/>
      <c r="I157" s="17"/>
      <c r="J157" s="18"/>
      <c r="K157" s="18"/>
    </row>
    <row r="158" customFormat="false" ht="21.75" hidden="false" customHeight="true" outlineLevel="0" collapsed="false">
      <c r="A158" s="17"/>
      <c r="B158" s="18"/>
      <c r="C158" s="18"/>
      <c r="D158" s="18"/>
      <c r="E158" s="18"/>
      <c r="F158" s="19"/>
      <c r="G158" s="19"/>
      <c r="H158" s="19"/>
      <c r="I158" s="17"/>
      <c r="J158" s="18"/>
      <c r="K158" s="18"/>
    </row>
    <row r="159" customFormat="false" ht="21.75" hidden="false" customHeight="true" outlineLevel="0" collapsed="false">
      <c r="A159" s="17"/>
      <c r="B159" s="18"/>
      <c r="C159" s="18"/>
      <c r="D159" s="18"/>
      <c r="E159" s="18"/>
      <c r="F159" s="19"/>
      <c r="G159" s="19"/>
      <c r="H159" s="19"/>
      <c r="I159" s="17"/>
      <c r="J159" s="18"/>
      <c r="K159" s="18"/>
    </row>
    <row r="160" customFormat="false" ht="21.75" hidden="false" customHeight="true" outlineLevel="0" collapsed="false">
      <c r="A160" s="17"/>
      <c r="B160" s="18"/>
      <c r="C160" s="18"/>
      <c r="D160" s="18"/>
      <c r="E160" s="18"/>
      <c r="F160" s="19"/>
      <c r="G160" s="19"/>
      <c r="H160" s="19"/>
      <c r="I160" s="17"/>
      <c r="J160" s="18"/>
      <c r="K160" s="18"/>
    </row>
    <row r="161" customFormat="false" ht="21.75" hidden="false" customHeight="true" outlineLevel="0" collapsed="false">
      <c r="A161" s="17"/>
      <c r="B161" s="18"/>
      <c r="C161" s="18"/>
      <c r="D161" s="18"/>
      <c r="E161" s="18"/>
      <c r="F161" s="19"/>
      <c r="G161" s="19"/>
      <c r="H161" s="19"/>
      <c r="I161" s="17"/>
      <c r="J161" s="18"/>
      <c r="K161" s="18"/>
    </row>
    <row r="162" customFormat="false" ht="21.75" hidden="false" customHeight="true" outlineLevel="0" collapsed="false">
      <c r="A162" s="17"/>
      <c r="B162" s="18"/>
      <c r="C162" s="18"/>
      <c r="D162" s="18"/>
      <c r="E162" s="18"/>
      <c r="F162" s="19"/>
      <c r="G162" s="19"/>
      <c r="H162" s="19"/>
      <c r="I162" s="17"/>
      <c r="J162" s="18"/>
      <c r="K162" s="18"/>
    </row>
    <row r="163" customFormat="false" ht="21.75" hidden="false" customHeight="true" outlineLevel="0" collapsed="false">
      <c r="A163" s="17"/>
      <c r="B163" s="18"/>
      <c r="C163" s="18"/>
      <c r="D163" s="18"/>
      <c r="E163" s="18"/>
      <c r="F163" s="19"/>
      <c r="G163" s="19"/>
      <c r="H163" s="19"/>
      <c r="I163" s="17"/>
      <c r="J163" s="18"/>
      <c r="K163" s="18"/>
    </row>
    <row r="164" customFormat="false" ht="21.75" hidden="false" customHeight="true" outlineLevel="0" collapsed="false">
      <c r="A164" s="17"/>
      <c r="B164" s="18"/>
      <c r="C164" s="18"/>
      <c r="D164" s="18"/>
      <c r="E164" s="18"/>
      <c r="F164" s="19"/>
      <c r="G164" s="19"/>
      <c r="H164" s="19"/>
      <c r="I164" s="17"/>
      <c r="J164" s="18"/>
      <c r="K164" s="18"/>
    </row>
    <row r="165" customFormat="false" ht="21.75" hidden="false" customHeight="true" outlineLevel="0" collapsed="false">
      <c r="A165" s="17"/>
      <c r="B165" s="18"/>
      <c r="C165" s="18"/>
      <c r="D165" s="18"/>
      <c r="E165" s="18"/>
      <c r="F165" s="19"/>
      <c r="G165" s="19"/>
      <c r="H165" s="19"/>
      <c r="I165" s="17"/>
      <c r="J165" s="18"/>
      <c r="K165" s="18"/>
    </row>
    <row r="166" customFormat="false" ht="21.75" hidden="false" customHeight="true" outlineLevel="0" collapsed="false">
      <c r="A166" s="17"/>
      <c r="B166" s="18"/>
      <c r="C166" s="18"/>
      <c r="D166" s="18"/>
      <c r="E166" s="18"/>
      <c r="F166" s="19"/>
      <c r="G166" s="19"/>
      <c r="H166" s="19"/>
      <c r="I166" s="17"/>
      <c r="J166" s="18"/>
      <c r="K166" s="18"/>
    </row>
    <row r="167" customFormat="false" ht="21.75" hidden="false" customHeight="true" outlineLevel="0" collapsed="false">
      <c r="A167" s="17"/>
      <c r="B167" s="18"/>
      <c r="C167" s="18"/>
      <c r="D167" s="18"/>
      <c r="E167" s="18"/>
      <c r="F167" s="19"/>
      <c r="G167" s="19"/>
      <c r="H167" s="19"/>
      <c r="I167" s="17"/>
      <c r="J167" s="18"/>
      <c r="K167" s="18"/>
    </row>
    <row r="168" customFormat="false" ht="21.75" hidden="false" customHeight="true" outlineLevel="0" collapsed="false">
      <c r="A168" s="17"/>
      <c r="B168" s="18"/>
      <c r="C168" s="18"/>
      <c r="D168" s="18"/>
      <c r="E168" s="18"/>
      <c r="F168" s="19"/>
      <c r="G168" s="19"/>
      <c r="H168" s="19"/>
      <c r="I168" s="17"/>
      <c r="J168" s="18"/>
      <c r="K168" s="18"/>
    </row>
    <row r="169" customFormat="false" ht="21.75" hidden="false" customHeight="true" outlineLevel="0" collapsed="false">
      <c r="A169" s="17"/>
      <c r="B169" s="18"/>
      <c r="C169" s="18"/>
      <c r="D169" s="18"/>
      <c r="E169" s="18"/>
      <c r="F169" s="19"/>
      <c r="G169" s="19"/>
      <c r="H169" s="19"/>
      <c r="I169" s="17"/>
      <c r="J169" s="18"/>
      <c r="K169" s="18"/>
    </row>
    <row r="170" customFormat="false" ht="21.75" hidden="false" customHeight="true" outlineLevel="0" collapsed="false">
      <c r="A170" s="17"/>
      <c r="B170" s="18"/>
      <c r="C170" s="18"/>
      <c r="D170" s="18"/>
      <c r="E170" s="18"/>
      <c r="F170" s="19"/>
      <c r="G170" s="19"/>
      <c r="H170" s="19"/>
      <c r="I170" s="17"/>
      <c r="J170" s="18"/>
      <c r="K170" s="18"/>
    </row>
    <row r="171" customFormat="false" ht="21.75" hidden="false" customHeight="true" outlineLevel="0" collapsed="false">
      <c r="A171" s="17"/>
      <c r="B171" s="18"/>
      <c r="C171" s="18"/>
      <c r="D171" s="18"/>
      <c r="E171" s="18"/>
      <c r="F171" s="19"/>
      <c r="G171" s="19"/>
      <c r="H171" s="19"/>
      <c r="I171" s="17"/>
      <c r="J171" s="18"/>
      <c r="K171" s="18"/>
    </row>
    <row r="172" customFormat="false" ht="21.75" hidden="false" customHeight="true" outlineLevel="0" collapsed="false">
      <c r="A172" s="17"/>
      <c r="B172" s="18"/>
      <c r="C172" s="18"/>
      <c r="D172" s="18"/>
      <c r="E172" s="18"/>
      <c r="F172" s="19"/>
      <c r="G172" s="19"/>
      <c r="H172" s="19"/>
      <c r="I172" s="17"/>
      <c r="J172" s="18"/>
      <c r="K172" s="18"/>
    </row>
    <row r="173" customFormat="false" ht="21.75" hidden="false" customHeight="true" outlineLevel="0" collapsed="false">
      <c r="A173" s="17"/>
      <c r="B173" s="18"/>
      <c r="C173" s="18"/>
      <c r="D173" s="18"/>
      <c r="E173" s="18"/>
      <c r="F173" s="19"/>
      <c r="G173" s="19"/>
      <c r="H173" s="19"/>
      <c r="I173" s="17"/>
      <c r="J173" s="18"/>
      <c r="K173" s="18"/>
    </row>
    <row r="174" customFormat="false" ht="21.75" hidden="false" customHeight="true" outlineLevel="0" collapsed="false">
      <c r="A174" s="17"/>
      <c r="B174" s="18"/>
      <c r="C174" s="18"/>
      <c r="D174" s="18"/>
      <c r="E174" s="18"/>
      <c r="F174" s="19"/>
      <c r="G174" s="19"/>
      <c r="H174" s="19"/>
      <c r="I174" s="17"/>
      <c r="J174" s="18"/>
      <c r="K174" s="18"/>
    </row>
    <row r="175" customFormat="false" ht="21.75" hidden="false" customHeight="true" outlineLevel="0" collapsed="false">
      <c r="A175" s="17"/>
      <c r="B175" s="18"/>
      <c r="C175" s="18"/>
      <c r="D175" s="18"/>
      <c r="E175" s="18"/>
      <c r="F175" s="19"/>
      <c r="G175" s="19"/>
      <c r="H175" s="19"/>
      <c r="I175" s="17"/>
      <c r="J175" s="18"/>
      <c r="K175" s="18"/>
    </row>
    <row r="176" customFormat="false" ht="21.75" hidden="false" customHeight="true" outlineLevel="0" collapsed="false">
      <c r="A176" s="17"/>
      <c r="B176" s="18"/>
      <c r="C176" s="18"/>
      <c r="D176" s="18"/>
      <c r="E176" s="18"/>
      <c r="F176" s="19"/>
      <c r="G176" s="19"/>
      <c r="H176" s="19"/>
      <c r="I176" s="17"/>
      <c r="J176" s="18"/>
      <c r="K176" s="18"/>
    </row>
    <row r="177" customFormat="false" ht="21.75" hidden="false" customHeight="true" outlineLevel="0" collapsed="false">
      <c r="A177" s="17"/>
      <c r="B177" s="18"/>
      <c r="C177" s="18"/>
      <c r="D177" s="18"/>
      <c r="E177" s="18"/>
      <c r="F177" s="19"/>
      <c r="G177" s="19"/>
      <c r="H177" s="19"/>
      <c r="I177" s="17"/>
      <c r="J177" s="18"/>
      <c r="K177" s="18"/>
    </row>
    <row r="178" customFormat="false" ht="21.75" hidden="false" customHeight="true" outlineLevel="0" collapsed="false">
      <c r="A178" s="17"/>
      <c r="B178" s="18"/>
      <c r="C178" s="18"/>
      <c r="D178" s="18"/>
      <c r="E178" s="18"/>
      <c r="F178" s="19"/>
      <c r="G178" s="19"/>
      <c r="H178" s="19"/>
      <c r="I178" s="17"/>
      <c r="J178" s="18"/>
      <c r="K178" s="18"/>
    </row>
    <row r="179" customFormat="false" ht="21.75" hidden="false" customHeight="true" outlineLevel="0" collapsed="false">
      <c r="A179" s="17"/>
      <c r="B179" s="18"/>
      <c r="C179" s="18"/>
      <c r="D179" s="18"/>
      <c r="E179" s="18"/>
      <c r="F179" s="19"/>
      <c r="G179" s="19"/>
      <c r="H179" s="19"/>
      <c r="I179" s="17"/>
      <c r="J179" s="18"/>
      <c r="K179" s="18"/>
    </row>
    <row r="180" customFormat="false" ht="21.75" hidden="false" customHeight="true" outlineLevel="0" collapsed="false">
      <c r="A180" s="17"/>
      <c r="B180" s="18"/>
      <c r="C180" s="18"/>
      <c r="D180" s="18"/>
      <c r="E180" s="18"/>
      <c r="F180" s="19"/>
      <c r="G180" s="19"/>
      <c r="H180" s="19"/>
      <c r="I180" s="17"/>
      <c r="J180" s="18"/>
      <c r="K180" s="18"/>
    </row>
    <row r="181" customFormat="false" ht="21.75" hidden="false" customHeight="true" outlineLevel="0" collapsed="false">
      <c r="A181" s="17"/>
      <c r="B181" s="18"/>
      <c r="C181" s="18"/>
      <c r="D181" s="18"/>
      <c r="E181" s="18"/>
      <c r="F181" s="19"/>
      <c r="G181" s="19"/>
      <c r="H181" s="19"/>
      <c r="I181" s="17"/>
      <c r="J181" s="18"/>
      <c r="K181" s="18"/>
    </row>
    <row r="182" customFormat="false" ht="21.75" hidden="false" customHeight="true" outlineLevel="0" collapsed="false">
      <c r="A182" s="17"/>
      <c r="B182" s="18"/>
      <c r="C182" s="18"/>
      <c r="D182" s="18"/>
      <c r="E182" s="18"/>
      <c r="F182" s="19"/>
      <c r="G182" s="19"/>
      <c r="H182" s="19"/>
      <c r="I182" s="17"/>
      <c r="J182" s="18"/>
      <c r="K182" s="18"/>
    </row>
    <row r="183" customFormat="false" ht="21.75" hidden="false" customHeight="true" outlineLevel="0" collapsed="false">
      <c r="A183" s="17"/>
      <c r="B183" s="18"/>
      <c r="C183" s="18"/>
      <c r="D183" s="18"/>
      <c r="E183" s="18"/>
      <c r="F183" s="19"/>
      <c r="G183" s="19"/>
      <c r="H183" s="19"/>
      <c r="I183" s="17"/>
      <c r="J183" s="18"/>
      <c r="K183" s="18"/>
    </row>
    <row r="184" customFormat="false" ht="21.75" hidden="false" customHeight="true" outlineLevel="0" collapsed="false">
      <c r="A184" s="17"/>
      <c r="B184" s="18"/>
      <c r="C184" s="18"/>
      <c r="D184" s="18"/>
      <c r="E184" s="18"/>
      <c r="F184" s="19"/>
      <c r="G184" s="19"/>
      <c r="H184" s="19"/>
      <c r="I184" s="17"/>
      <c r="J184" s="18"/>
      <c r="K184" s="18"/>
    </row>
    <row r="185" customFormat="false" ht="21.75" hidden="false" customHeight="true" outlineLevel="0" collapsed="false">
      <c r="A185" s="17"/>
      <c r="B185" s="18"/>
      <c r="C185" s="18"/>
      <c r="D185" s="18"/>
      <c r="E185" s="18"/>
      <c r="F185" s="19"/>
      <c r="G185" s="19"/>
      <c r="H185" s="19"/>
      <c r="I185" s="17"/>
      <c r="J185" s="18"/>
      <c r="K185" s="18"/>
    </row>
    <row r="186" customFormat="false" ht="21.75" hidden="false" customHeight="true" outlineLevel="0" collapsed="false">
      <c r="A186" s="17"/>
      <c r="B186" s="18"/>
      <c r="C186" s="18"/>
      <c r="D186" s="18"/>
      <c r="E186" s="18"/>
      <c r="F186" s="19"/>
      <c r="G186" s="19"/>
      <c r="H186" s="19"/>
      <c r="I186" s="17"/>
      <c r="J186" s="18"/>
      <c r="K186" s="18"/>
    </row>
    <row r="187" customFormat="false" ht="21.75" hidden="false" customHeight="true" outlineLevel="0" collapsed="false">
      <c r="A187" s="17"/>
      <c r="B187" s="18"/>
      <c r="C187" s="18"/>
      <c r="D187" s="18"/>
      <c r="E187" s="18"/>
      <c r="F187" s="19"/>
      <c r="G187" s="19"/>
      <c r="H187" s="19"/>
      <c r="I187" s="17"/>
      <c r="J187" s="18"/>
      <c r="K187" s="18"/>
    </row>
    <row r="188" customFormat="false" ht="21.75" hidden="false" customHeight="true" outlineLevel="0" collapsed="false">
      <c r="A188" s="17"/>
      <c r="B188" s="18"/>
      <c r="C188" s="18"/>
      <c r="D188" s="18"/>
      <c r="E188" s="18"/>
      <c r="F188" s="19"/>
      <c r="G188" s="19"/>
      <c r="H188" s="19"/>
      <c r="I188" s="17"/>
      <c r="J188" s="18"/>
      <c r="K188" s="18"/>
    </row>
    <row r="189" customFormat="false" ht="21.75" hidden="false" customHeight="true" outlineLevel="0" collapsed="false">
      <c r="A189" s="17"/>
      <c r="B189" s="18"/>
      <c r="C189" s="18"/>
      <c r="D189" s="18"/>
      <c r="E189" s="18"/>
      <c r="F189" s="19"/>
      <c r="G189" s="19"/>
      <c r="H189" s="19"/>
      <c r="I189" s="17"/>
      <c r="J189" s="18"/>
      <c r="K189" s="18"/>
    </row>
    <row r="190" customFormat="false" ht="21.75" hidden="false" customHeight="true" outlineLevel="0" collapsed="false">
      <c r="A190" s="17"/>
      <c r="B190" s="18"/>
      <c r="C190" s="18"/>
      <c r="D190" s="18"/>
      <c r="E190" s="18"/>
      <c r="F190" s="19"/>
      <c r="G190" s="19"/>
      <c r="H190" s="19"/>
      <c r="I190" s="17"/>
      <c r="J190" s="18"/>
      <c r="K190" s="18"/>
    </row>
    <row r="191" customFormat="false" ht="21.75" hidden="false" customHeight="true" outlineLevel="0" collapsed="false">
      <c r="A191" s="17"/>
      <c r="B191" s="18"/>
      <c r="C191" s="18"/>
      <c r="D191" s="18"/>
      <c r="E191" s="18"/>
      <c r="F191" s="19"/>
      <c r="G191" s="19"/>
      <c r="H191" s="19"/>
      <c r="I191" s="17"/>
      <c r="J191" s="18"/>
      <c r="K191" s="18"/>
    </row>
    <row r="192" customFormat="false" ht="21.75" hidden="false" customHeight="true" outlineLevel="0" collapsed="false">
      <c r="A192" s="17"/>
      <c r="B192" s="18"/>
      <c r="C192" s="18"/>
      <c r="D192" s="18"/>
      <c r="E192" s="18"/>
      <c r="F192" s="19"/>
      <c r="G192" s="19"/>
      <c r="H192" s="19"/>
      <c r="I192" s="17"/>
      <c r="J192" s="18"/>
      <c r="K192" s="18"/>
    </row>
    <row r="193" customFormat="false" ht="21.75" hidden="false" customHeight="true" outlineLevel="0" collapsed="false">
      <c r="A193" s="17"/>
      <c r="B193" s="18"/>
      <c r="C193" s="18"/>
      <c r="D193" s="18"/>
      <c r="E193" s="18"/>
      <c r="F193" s="19"/>
      <c r="G193" s="19"/>
      <c r="H193" s="19"/>
      <c r="I193" s="17"/>
      <c r="J193" s="18"/>
      <c r="K193" s="18"/>
    </row>
    <row r="194" customFormat="false" ht="21.75" hidden="false" customHeight="true" outlineLevel="0" collapsed="false">
      <c r="A194" s="17"/>
      <c r="B194" s="18"/>
      <c r="C194" s="18"/>
      <c r="D194" s="18"/>
      <c r="E194" s="18"/>
      <c r="F194" s="19"/>
      <c r="G194" s="19"/>
      <c r="H194" s="19"/>
      <c r="I194" s="17"/>
      <c r="J194" s="18"/>
      <c r="K194" s="18"/>
    </row>
    <row r="195" customFormat="false" ht="21.75" hidden="false" customHeight="true" outlineLevel="0" collapsed="false">
      <c r="A195" s="17"/>
      <c r="B195" s="18"/>
      <c r="C195" s="18"/>
      <c r="D195" s="18"/>
      <c r="E195" s="18"/>
      <c r="F195" s="19"/>
      <c r="G195" s="19"/>
      <c r="H195" s="19"/>
      <c r="I195" s="17"/>
      <c r="J195" s="18"/>
      <c r="K195" s="18"/>
    </row>
    <row r="196" customFormat="false" ht="21.75" hidden="false" customHeight="true" outlineLevel="0" collapsed="false">
      <c r="A196" s="17"/>
      <c r="B196" s="18"/>
      <c r="C196" s="18"/>
      <c r="D196" s="18"/>
      <c r="E196" s="18"/>
      <c r="F196" s="19"/>
      <c r="G196" s="19"/>
      <c r="H196" s="19"/>
      <c r="I196" s="17"/>
      <c r="J196" s="18"/>
      <c r="K196" s="18"/>
    </row>
    <row r="197" customFormat="false" ht="21.75" hidden="false" customHeight="true" outlineLevel="0" collapsed="false">
      <c r="A197" s="17"/>
      <c r="B197" s="18"/>
      <c r="C197" s="18"/>
      <c r="D197" s="18"/>
      <c r="E197" s="18"/>
      <c r="F197" s="19"/>
      <c r="G197" s="19"/>
      <c r="H197" s="19"/>
      <c r="I197" s="17"/>
      <c r="J197" s="18"/>
      <c r="K197" s="18"/>
    </row>
    <row r="198" customFormat="false" ht="21.75" hidden="false" customHeight="true" outlineLevel="0" collapsed="false">
      <c r="A198" s="17"/>
      <c r="B198" s="18"/>
      <c r="C198" s="18"/>
      <c r="D198" s="18"/>
      <c r="E198" s="18"/>
      <c r="F198" s="19"/>
      <c r="G198" s="19"/>
      <c r="H198" s="19"/>
      <c r="I198" s="17"/>
      <c r="J198" s="18"/>
      <c r="K198" s="18"/>
    </row>
    <row r="199" customFormat="false" ht="21.75" hidden="false" customHeight="true" outlineLevel="0" collapsed="false">
      <c r="A199" s="17"/>
      <c r="B199" s="18"/>
      <c r="C199" s="18"/>
      <c r="D199" s="18"/>
      <c r="E199" s="18"/>
      <c r="F199" s="19"/>
      <c r="G199" s="19"/>
      <c r="H199" s="19"/>
      <c r="I199" s="17"/>
      <c r="J199" s="18"/>
      <c r="K199" s="18"/>
    </row>
    <row r="200" customFormat="false" ht="21.75" hidden="false" customHeight="true" outlineLevel="0" collapsed="false">
      <c r="A200" s="17"/>
      <c r="B200" s="18"/>
      <c r="C200" s="18"/>
      <c r="D200" s="18"/>
      <c r="E200" s="18"/>
      <c r="F200" s="19"/>
      <c r="G200" s="19"/>
      <c r="H200" s="19"/>
      <c r="I200" s="17"/>
      <c r="J200" s="18"/>
      <c r="K200" s="18"/>
    </row>
    <row r="201" customFormat="false" ht="21.75" hidden="false" customHeight="true" outlineLevel="0" collapsed="false">
      <c r="A201" s="17"/>
      <c r="B201" s="18"/>
      <c r="C201" s="18"/>
      <c r="D201" s="18"/>
      <c r="E201" s="18"/>
      <c r="F201" s="19"/>
      <c r="G201" s="19"/>
      <c r="H201" s="19"/>
      <c r="I201" s="17"/>
      <c r="J201" s="18"/>
      <c r="K201" s="18"/>
    </row>
    <row r="202" customFormat="false" ht="21.75" hidden="false" customHeight="true" outlineLevel="0" collapsed="false">
      <c r="A202" s="17"/>
      <c r="B202" s="18"/>
      <c r="C202" s="18"/>
      <c r="D202" s="18"/>
      <c r="E202" s="18"/>
      <c r="F202" s="19"/>
      <c r="G202" s="19"/>
      <c r="H202" s="19"/>
      <c r="I202" s="17"/>
      <c r="J202" s="18"/>
      <c r="K202" s="18"/>
    </row>
    <row r="203" customFormat="false" ht="21.75" hidden="false" customHeight="true" outlineLevel="0" collapsed="false">
      <c r="A203" s="17"/>
      <c r="B203" s="18"/>
      <c r="C203" s="18"/>
      <c r="D203" s="18"/>
      <c r="E203" s="18"/>
      <c r="F203" s="19"/>
      <c r="G203" s="19"/>
      <c r="H203" s="19"/>
      <c r="I203" s="17"/>
      <c r="J203" s="18"/>
      <c r="K203" s="18"/>
    </row>
    <row r="204" customFormat="false" ht="21.75" hidden="false" customHeight="true" outlineLevel="0" collapsed="false">
      <c r="A204" s="17"/>
      <c r="B204" s="18"/>
      <c r="C204" s="18"/>
      <c r="D204" s="18"/>
      <c r="E204" s="18"/>
      <c r="F204" s="19"/>
      <c r="G204" s="19"/>
      <c r="H204" s="19"/>
      <c r="I204" s="17"/>
      <c r="J204" s="18"/>
      <c r="K204" s="18"/>
    </row>
  </sheetData>
  <autoFilter ref="A4:K204"/>
  <mergeCells count="2">
    <mergeCell ref="A1:K1"/>
    <mergeCell ref="A2:K2"/>
  </mergeCells>
  <conditionalFormatting sqref="A5:K204">
    <cfRule type="expression" priority="2" aboveAverage="0" equalAverage="0" bottom="0" percent="0" rank="0" text="" dxfId="22">
      <formula>MOD(ROW(),2)=0</formula>
    </cfRule>
  </conditionalFormatting>
  <dataValidations count="3">
    <dataValidation allowBlank="true" errorStyle="stop" operator="between" showDropDown="false" showErrorMessage="false" showInputMessage="false" sqref="B5:B204" type="list">
      <formula1>lst_Categorias</formula1>
      <formula2>0</formula2>
    </dataValidation>
    <dataValidation allowBlank="true" errorStyle="stop" operator="between" showDropDown="false" showErrorMessage="false" showInputMessage="false" sqref="I5:I204" type="list">
      <formula1>lst_Prioridades</formula1>
      <formula2>0</formula2>
    </dataValidation>
    <dataValidation allowBlank="true" errorStyle="stop" operator="between" showDropDown="false" showErrorMessage="false" showInputMessage="false" sqref="E5:E204" type="list">
      <formula1>lst_Responsaveis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0" t="s">
        <v>92</v>
      </c>
      <c r="B1" s="10" t="s">
        <v>14</v>
      </c>
      <c r="C1" s="10" t="s">
        <v>15</v>
      </c>
      <c r="D1" s="10" t="s">
        <v>93</v>
      </c>
    </row>
    <row r="2" customFormat="false" ht="15" hidden="false" customHeight="false" outlineLevel="0" collapsed="false">
      <c r="A2" s="21" t="s">
        <v>16</v>
      </c>
      <c r="B2" s="21" t="s">
        <v>17</v>
      </c>
      <c r="C2" s="21" t="s">
        <v>18</v>
      </c>
      <c r="D2" s="21" t="s">
        <v>45</v>
      </c>
      <c r="F2" s="22" t="s">
        <v>94</v>
      </c>
    </row>
    <row r="3" customFormat="false" ht="15" hidden="false" customHeight="false" outlineLevel="0" collapsed="false">
      <c r="A3" s="21" t="s">
        <v>19</v>
      </c>
      <c r="B3" s="21" t="s">
        <v>5</v>
      </c>
      <c r="C3" s="21" t="s">
        <v>20</v>
      </c>
      <c r="D3" s="21" t="s">
        <v>51</v>
      </c>
      <c r="F3" s="23" t="s">
        <v>95</v>
      </c>
    </row>
    <row r="4" customFormat="false" ht="15" hidden="false" customHeight="false" outlineLevel="0" collapsed="false">
      <c r="A4" s="21" t="s">
        <v>21</v>
      </c>
      <c r="B4" s="21" t="s">
        <v>22</v>
      </c>
      <c r="C4" s="21" t="s">
        <v>23</v>
      </c>
      <c r="D4" s="21" t="s">
        <v>96</v>
      </c>
      <c r="F4" s="23" t="s">
        <v>97</v>
      </c>
    </row>
    <row r="5" customFormat="false" ht="15" hidden="false" customHeight="false" outlineLevel="0" collapsed="false">
      <c r="A5" s="21" t="s">
        <v>24</v>
      </c>
      <c r="B5" s="21" t="s">
        <v>25</v>
      </c>
      <c r="D5" s="21" t="s">
        <v>42</v>
      </c>
    </row>
    <row r="6" customFormat="false" ht="15" hidden="false" customHeight="false" outlineLevel="0" collapsed="false">
      <c r="A6" s="21" t="s">
        <v>26</v>
      </c>
      <c r="B6" s="21" t="s">
        <v>27</v>
      </c>
      <c r="D6" s="21" t="s">
        <v>28</v>
      </c>
    </row>
    <row r="7" customFormat="false" ht="15" hidden="false" customHeight="false" outlineLevel="0" collapsed="false">
      <c r="A7" s="21" t="s">
        <v>28</v>
      </c>
    </row>
    <row r="8" customFormat="false" ht="15" hidden="false" customHeight="false" outlineLevel="0" collapsed="false">
      <c r="A8" s="2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2026-05-21T19:00:50Z</dcterms:created>
  <dc:creator>openpyxl</dc:creator>
  <dc:description/>
  <dc:language>en-US</dc:language>
  <cp:lastModifiedBy/>
  <dcterms:modified xsi:type="dcterms:W3CDTF">2026-05-21T19:00:57Z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